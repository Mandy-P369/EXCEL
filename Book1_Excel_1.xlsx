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fc81b0e6ad29d4c/Desktop/EXCEL/"/>
    </mc:Choice>
  </mc:AlternateContent>
  <xr:revisionPtr revIDLastSave="0" documentId="8_{3D5AECE5-2451-4C1C-B57A-B2FDC94367C7}" xr6:coauthVersionLast="47" xr6:coauthVersionMax="47" xr10:uidLastSave="{00000000-0000-0000-0000-000000000000}"/>
  <bookViews>
    <workbookView xWindow="-108" yWindow="-108" windowWidth="23256" windowHeight="13176" xr2:uid="{7E9AF889-7EF0-4917-B7AE-B452707AA8BF}"/>
  </bookViews>
  <sheets>
    <sheet name="BOOKS_RECORDS" sheetId="2" r:id="rId1"/>
    <sheet name="Advanced_Filter" sheetId="3" r:id="rId2"/>
    <sheet name="Sheet1" sheetId="1" r:id="rId3"/>
    <sheet name="Filter_Formula" sheetId="4" r:id="rId4"/>
  </sheets>
  <definedNames>
    <definedName name="_xlnm._FilterDatabase" localSheetId="1" hidden="1">Advanced_Filter!$A$1:$G$103</definedName>
    <definedName name="_xlnm.Criteria" localSheetId="1">Advanced_Filter!$I$1:$I$2</definedName>
    <definedName name="ExternalData_1" localSheetId="1" hidden="1">Advanced_Filter!$A$1:$G$103</definedName>
    <definedName name="ExternalData_1" localSheetId="0" hidden="1">BOOKS_RECORDS!$A$1:$G$106</definedName>
    <definedName name="ExternalData_1" localSheetId="3" hidden="1">Filter_Formula!$A$2:$G$107</definedName>
    <definedName name="ExternalData_1" localSheetId="2" hidden="1">Sheet1!$A$1:$G$106</definedName>
    <definedName name="_xlnm.Extract" localSheetId="1">Advanced_Filter!$J$1:$Q$1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0" i="4" l="1" a="1"/>
  <c r="A110" i="4" s="1"/>
  <c r="H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I2" i="1" a="1"/>
  <c r="I2" i="1" s="1"/>
  <c r="A111" i="1" a="1"/>
  <c r="A111" i="1" s="1"/>
  <c r="G108" i="2"/>
  <c r="F109" i="2"/>
  <c r="F108" i="2"/>
  <c r="J2" i="4" l="1" a="1"/>
  <c r="J2" i="4" s="1"/>
  <c r="I2" i="2" a="1"/>
  <c r="I2" i="2" s="1"/>
  <c r="A113" i="2" a="1"/>
  <c r="A113" i="2" s="1"/>
  <c r="I113" i="2" l="1" a="1"/>
  <c r="I113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D8B8029-7CB8-4813-9AE8-27E1C5871D6C}" keepAlive="1" name="Query - BOOKS_RECORDS" description="Connection to the 'BOOKS_RECORDS' query in the workbook." type="5" refreshedVersion="8" background="1" saveData="1">
    <dbPr connection="Provider=Microsoft.Mashup.OleDb.1;Data Source=$Workbook$;Location=BOOKS_RECORDS;Extended Properties=&quot;&quot;" command="SELECT * FROM [BOOKS_RECORDS]"/>
  </connection>
  <connection id="2" xr16:uid="{57A3CFFA-D33E-4BC8-8B4D-67BD2FB5CACB}" keepAlive="1" name="Query - BOOKS_RECORDS (2)" description="Connection to the 'BOOKS_RECORDS (2)' query in the workbook." type="5" refreshedVersion="8" background="1" saveData="1">
    <dbPr connection="Provider=Microsoft.Mashup.OleDb.1;Data Source=$Workbook$;Location=&quot;BOOKS_RECORDS (2)&quot;;Extended Properties=&quot;&quot;" command="SELECT * FROM [BOOKS_RECORDS (2)]"/>
  </connection>
  <connection id="3" xr16:uid="{00ED0B13-50C9-4CAB-9C61-E9E73F00F0AA}" keepAlive="1" name="Query - BOOKS_RECORDS (3)" description="Connection to the 'BOOKS_RECORDS (3)' query in the workbook." type="5" refreshedVersion="8" background="1" saveData="1">
    <dbPr connection="Provider=Microsoft.Mashup.OleDb.1;Data Source=$Workbook$;Location=&quot;BOOKS_RECORDS (3)&quot;;Extended Properties=&quot;&quot;" command="SELECT * FROM [BOOKS_RECORDS (3)]"/>
  </connection>
  <connection id="4" xr16:uid="{77A80DFA-90D8-47A9-B571-4B94ECF75B29}" keepAlive="1" name="Query - BOOKS_RECORDS (4)" description="Connection to the 'BOOKS_RECORDS (4)' query in the workbook." type="5" refreshedVersion="8" background="1" saveData="1">
    <dbPr connection="Provider=Microsoft.Mashup.OleDb.1;Data Source=$Workbook$;Location=&quot;BOOKS_RECORDS (4)&quot;;Extended Properties=&quot;&quot;" command="SELECT * FROM [BOOKS_RECORDS (4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<sst xmlns="http://schemas.openxmlformats.org/spreadsheetml/2006/main" count="1372" uniqueCount="232">
  <si>
    <t>book_id</t>
  </si>
  <si>
    <t>title</t>
  </si>
  <si>
    <t>author</t>
  </si>
  <si>
    <t>genre</t>
  </si>
  <si>
    <t>published_year</t>
  </si>
  <si>
    <t>price</t>
  </si>
  <si>
    <t>The Silent River</t>
  </si>
  <si>
    <t>Ava Thompson</t>
  </si>
  <si>
    <t>Mystery</t>
  </si>
  <si>
    <t>Echoes of Tomorrow</t>
  </si>
  <si>
    <t>Liam Carter</t>
  </si>
  <si>
    <t>Science Fiction</t>
  </si>
  <si>
    <t>Whispers in the Wind</t>
  </si>
  <si>
    <t>Sophia Bennett</t>
  </si>
  <si>
    <t>Romance</t>
  </si>
  <si>
    <t>Beneath the Crimson Sky</t>
  </si>
  <si>
    <t>Noah Brooks</t>
  </si>
  <si>
    <t>Historical Fiction</t>
  </si>
  <si>
    <t>Shadows of Eternity</t>
  </si>
  <si>
    <t>Emma Clark</t>
  </si>
  <si>
    <t>Fantasy</t>
  </si>
  <si>
    <t>Fragments of Light</t>
  </si>
  <si>
    <t>Ethan Hughes</t>
  </si>
  <si>
    <t>Drama</t>
  </si>
  <si>
    <t>The Iron Code</t>
  </si>
  <si>
    <t>Olivia Cooper</t>
  </si>
  <si>
    <t>Thriller</t>
  </si>
  <si>
    <t>Wings of Glass</t>
  </si>
  <si>
    <t>Isabella Reed</t>
  </si>
  <si>
    <t>The Forgotten Realm</t>
  </si>
  <si>
    <t>Mason Adams</t>
  </si>
  <si>
    <t>Adventure</t>
  </si>
  <si>
    <t>Chronicles of Dawn</t>
  </si>
  <si>
    <t>Charlotte Evans</t>
  </si>
  <si>
    <t>City of Broken Dreams</t>
  </si>
  <si>
    <t>James Lewis</t>
  </si>
  <si>
    <t>The Stolen Horizon</t>
  </si>
  <si>
    <t>Mia Turner</t>
  </si>
  <si>
    <t>Through the Last Gate</t>
  </si>
  <si>
    <t>Benjamin Price</t>
  </si>
  <si>
    <t>The Violet Garden</t>
  </si>
  <si>
    <t>Amelia Green</t>
  </si>
  <si>
    <t>The Painted Mirror</t>
  </si>
  <si>
    <t>Logan Ward</t>
  </si>
  <si>
    <t>Edge of Nowhere</t>
  </si>
  <si>
    <t>Ella Mitchell</t>
  </si>
  <si>
    <t>Secrets of the Labyrinth</t>
  </si>
  <si>
    <t>Lucas Hill</t>
  </si>
  <si>
    <t>Ashes of the Empire</t>
  </si>
  <si>
    <t>Harper Scott</t>
  </si>
  <si>
    <t>Dreamcatcher’s Oath</t>
  </si>
  <si>
    <t>Henry Morgan</t>
  </si>
  <si>
    <t>Voices from the Deep</t>
  </si>
  <si>
    <t>Evelyn James</t>
  </si>
  <si>
    <t>Horror</t>
  </si>
  <si>
    <t>Tides of Destiny</t>
  </si>
  <si>
    <t>Michael Gray</t>
  </si>
  <si>
    <t>A Winter’s Promise</t>
  </si>
  <si>
    <t>Grace Collins</t>
  </si>
  <si>
    <t>The Quantum Paradox</t>
  </si>
  <si>
    <t>Jack Richardson</t>
  </si>
  <si>
    <t>Beneath the Ice</t>
  </si>
  <si>
    <t>Scarlett Ward</t>
  </si>
  <si>
    <t>Fires of Redemption</t>
  </si>
  <si>
    <t>Daniel Perry</t>
  </si>
  <si>
    <t>The Golden Compass</t>
  </si>
  <si>
    <t>Ella Foster</t>
  </si>
  <si>
    <t>House of Secrets</t>
  </si>
  <si>
    <t>Matthew Reed</t>
  </si>
  <si>
    <t>Shattered Reflections</t>
  </si>
  <si>
    <t>Abigail Gray</t>
  </si>
  <si>
    <t>Psychological Fiction</t>
  </si>
  <si>
    <t>The Neon Horizon</t>
  </si>
  <si>
    <t>Joseph Adams</t>
  </si>
  <si>
    <t>Cyberpunk</t>
  </si>
  <si>
    <t>The Winter’s Crown</t>
  </si>
  <si>
    <t>Victoria Hall</t>
  </si>
  <si>
    <t>The Lost City</t>
  </si>
  <si>
    <t>Samuel Harris</t>
  </si>
  <si>
    <t>Echoes of the Past</t>
  </si>
  <si>
    <t>Lily Campbell</t>
  </si>
  <si>
    <t>Beyond the Stars</t>
  </si>
  <si>
    <t>Owen Stewart</t>
  </si>
  <si>
    <t>The Silent Guardian</t>
  </si>
  <si>
    <t>Chloe Phillips</t>
  </si>
  <si>
    <t>River of Dreams</t>
  </si>
  <si>
    <t>Aiden Morris</t>
  </si>
  <si>
    <t>The Broken Spell</t>
  </si>
  <si>
    <t>Sofia Jenkins</t>
  </si>
  <si>
    <t>Cursed by Fire</t>
  </si>
  <si>
    <t>Jacob Carter</t>
  </si>
  <si>
    <t>The Haunting of Willow Lake</t>
  </si>
  <si>
    <t>Layla Rogers</t>
  </si>
  <si>
    <t>The Infinite Circle</t>
  </si>
  <si>
    <t>Ethan Howard</t>
  </si>
  <si>
    <t>When the Stars Fade</t>
  </si>
  <si>
    <t>Natalie Allen</t>
  </si>
  <si>
    <t>Darkness Rising</t>
  </si>
  <si>
    <t>Isaac Turner</t>
  </si>
  <si>
    <t>The Red Horizon</t>
  </si>
  <si>
    <t>Madison Young</t>
  </si>
  <si>
    <t>Whispers of the Forest</t>
  </si>
  <si>
    <t>Andrew Morris</t>
  </si>
  <si>
    <t>The Glass Tower</t>
  </si>
  <si>
    <t>Avery Kelly</t>
  </si>
  <si>
    <t>Into the Abyss</t>
  </si>
  <si>
    <t>Ella Stewart</t>
  </si>
  <si>
    <t>Rise of the Fallen</t>
  </si>
  <si>
    <t>David Morgan</t>
  </si>
  <si>
    <t>Ocean of Time</t>
  </si>
  <si>
    <t>Amelia Hill</t>
  </si>
  <si>
    <t>Winds of the West</t>
  </si>
  <si>
    <t>Grace Adams</t>
  </si>
  <si>
    <t>The Night Circus</t>
  </si>
  <si>
    <t>Arthur Hayes</t>
  </si>
  <si>
    <t>The Edge of Shadows</t>
  </si>
  <si>
    <t>Mila Ross</t>
  </si>
  <si>
    <t>Falling Skies</t>
  </si>
  <si>
    <t>Carter Wright</t>
  </si>
  <si>
    <t>Echo Valley</t>
  </si>
  <si>
    <t>Zoe Campbell</t>
  </si>
  <si>
    <t>The Wandering Soul</t>
  </si>
  <si>
    <t>Nathan Mitchell</t>
  </si>
  <si>
    <t>Blood and Ashes</t>
  </si>
  <si>
    <t>Sienna Reed</t>
  </si>
  <si>
    <t>Voices in the Dark</t>
  </si>
  <si>
    <t>Eli Parker</t>
  </si>
  <si>
    <t>Broken Chains</t>
  </si>
  <si>
    <t>Ava Richardson</t>
  </si>
  <si>
    <t>The Hidden Fortress</t>
  </si>
  <si>
    <t>Mason Bennett</t>
  </si>
  <si>
    <t>City of Smoke</t>
  </si>
  <si>
    <t>Ella Morris</t>
  </si>
  <si>
    <t>Firestorm</t>
  </si>
  <si>
    <t>Daniel Collins</t>
  </si>
  <si>
    <t>The Last Odyssey</t>
  </si>
  <si>
    <t>Olivia Gray</t>
  </si>
  <si>
    <t>Beneath the Moon</t>
  </si>
  <si>
    <t>Liam Thompson</t>
  </si>
  <si>
    <t>Dreams of Tomorrow</t>
  </si>
  <si>
    <t>Harper Adams</t>
  </si>
  <si>
    <t>The Secret Heir</t>
  </si>
  <si>
    <t>Sophia Carter</t>
  </si>
  <si>
    <t>Crimson Winter</t>
  </si>
  <si>
    <t>Noah Scott</t>
  </si>
  <si>
    <t>Under the Scarlet Sky</t>
  </si>
  <si>
    <t>Mia Walker</t>
  </si>
  <si>
    <t>Shattered Skies</t>
  </si>
  <si>
    <t>Benjamin Lewis</t>
  </si>
  <si>
    <t>The Emerald Flame</t>
  </si>
  <si>
    <t>Isabella Turner</t>
  </si>
  <si>
    <t>Heart of Shadows</t>
  </si>
  <si>
    <t>Charlotte Morgan</t>
  </si>
  <si>
    <t>Echo Chamber</t>
  </si>
  <si>
    <t>Ethan Evans</t>
  </si>
  <si>
    <t>Rise of the Machines</t>
  </si>
  <si>
    <t>Jacob Perry</t>
  </si>
  <si>
    <t>The Forgotten Path</t>
  </si>
  <si>
    <t>Ava Gray</t>
  </si>
  <si>
    <t>The Hollow Crown</t>
  </si>
  <si>
    <t>Henry Bennett</t>
  </si>
  <si>
    <t>Dark Waters</t>
  </si>
  <si>
    <t>Emma Scott</t>
  </si>
  <si>
    <t>The Crystal Kingdom</t>
  </si>
  <si>
    <t>Liam Cooper</t>
  </si>
  <si>
    <t>A Song of Fireflies</t>
  </si>
  <si>
    <t>Grace Hughes</t>
  </si>
  <si>
    <t>The Hidden Truth</t>
  </si>
  <si>
    <t>Lucas Allen</t>
  </si>
  <si>
    <t>The Burning Sky</t>
  </si>
  <si>
    <t>Mason Ross</t>
  </si>
  <si>
    <t>The Silver Wolf</t>
  </si>
  <si>
    <t>Echoes of Silence</t>
  </si>
  <si>
    <t>Nathan Turner</t>
  </si>
  <si>
    <t>The Clockwork Heart</t>
  </si>
  <si>
    <t>Amelia Adams</t>
  </si>
  <si>
    <t>Steampunk</t>
  </si>
  <si>
    <t>Under the Midnight Sun</t>
  </si>
  <si>
    <t>Michael Brown</t>
  </si>
  <si>
    <t>Whispering Shadows</t>
  </si>
  <si>
    <t>Avery Lewis</t>
  </si>
  <si>
    <t>The Eternal Flame</t>
  </si>
  <si>
    <t>Olivia Moore</t>
  </si>
  <si>
    <t>City of Illusions</t>
  </si>
  <si>
    <t>James Ross</t>
  </si>
  <si>
    <t>Ashes and Embers</t>
  </si>
  <si>
    <t>Lily Thompson</t>
  </si>
  <si>
    <t>The Scarlet Blade</t>
  </si>
  <si>
    <t>Benjamin Hughes</t>
  </si>
  <si>
    <t>Dawn of the Phoenix</t>
  </si>
  <si>
    <t>Chloe Ward</t>
  </si>
  <si>
    <t>Fallen Kingdom</t>
  </si>
  <si>
    <t>Logan Parker</t>
  </si>
  <si>
    <t>The Darkened Path</t>
  </si>
  <si>
    <t>Winds of Time</t>
  </si>
  <si>
    <t>Ava Scott</t>
  </si>
  <si>
    <t>The Vanishing Point</t>
  </si>
  <si>
    <t>Daniel Ross</t>
  </si>
  <si>
    <t>Ocean’s Whisper</t>
  </si>
  <si>
    <t>Mia Adams</t>
  </si>
  <si>
    <t>Echo of the Storm</t>
  </si>
  <si>
    <t>Henry Carter</t>
  </si>
  <si>
    <t>The Lost Horizon</t>
  </si>
  <si>
    <t>Sophia Green</t>
  </si>
  <si>
    <t>The Iron Throne</t>
  </si>
  <si>
    <t>The Silver Compass</t>
  </si>
  <si>
    <t>Emma Foster</t>
  </si>
  <si>
    <t>Shadows Over Avalon</t>
  </si>
  <si>
    <t>Benjamin Hill</t>
  </si>
  <si>
    <t>The Dark Sun</t>
  </si>
  <si>
    <t>Aiden Lewis</t>
  </si>
  <si>
    <t>The Crimson Queen</t>
  </si>
  <si>
    <t>Grace Evans</t>
  </si>
  <si>
    <t>The Lost Empire</t>
  </si>
  <si>
    <t>Liam Allen</t>
  </si>
  <si>
    <t>The Final Dawn</t>
  </si>
  <si>
    <t>Olivia Scott</t>
  </si>
  <si>
    <t>Moonlight Sonata</t>
  </si>
  <si>
    <t>Charlotte Adams</t>
  </si>
  <si>
    <t>Journey to Oblivion</t>
  </si>
  <si>
    <t>Ethan Perry</t>
  </si>
  <si>
    <t>The Glass Kingdom</t>
  </si>
  <si>
    <t>Endless Sky</t>
  </si>
  <si>
    <t>Jacob Gray</t>
  </si>
  <si>
    <t xml:space="preserve">stock </t>
  </si>
  <si>
    <t xml:space="preserve">MAX </t>
  </si>
  <si>
    <t>MIN</t>
  </si>
  <si>
    <t xml:space="preserve">total records of Adventure genre : </t>
  </si>
  <si>
    <t>Date</t>
  </si>
  <si>
    <t>Column1</t>
  </si>
  <si>
    <t xml:space="preserve">Sort &amp; Filter ---&gt; Advanced ---&gt;  copy to another location ---&gt; list range ---&gt; criteria range ---&gt; location  </t>
  </si>
  <si>
    <t xml:space="preserve">Filter Formula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</si>
</sst>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14009]yyyy/mm/dd;@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166" fontId="0" fillId="0" borderId="0" xfId="0" applyNumberFormat="1"/>
    <xf numFmtId="0" fontId="2" fillId="0" borderId="0" xfId="0" applyFont="1" applyAlignment="1">
      <alignment horizontal="center" wrapText="1"/>
    </xf>
    <xf numFmtId="0" fontId="3" fillId="3" borderId="0" xfId="0" applyFont="1" applyFill="1" applyAlignment="1">
      <alignment horizontal="left" indent="21"/>
    </xf>
    <xf numFmtId="0" fontId="4" fillId="3" borderId="0" xfId="0" applyFont="1" applyFill="1"/>
    <xf numFmtId="0" fontId="0" fillId="0" borderId="4" xfId="0" applyBorder="1"/>
  </cellXfs>
  <cellStyles count="1">
    <cellStyle name="Normal" xfId="0" builtinId="0"/>
  </cellStyles>
  <dxfs count="63"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99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alcChain" Target="calcChain.xml"/><Relationship Id="rId5" Type="http://schemas.openxmlformats.org/officeDocument/2006/relationships/theme" Target="theme/theme1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DE86C4B-A359-407E-BF3F-82219C0E7667}" autoFormatId="16" applyNumberFormats="0" applyBorderFormats="0" applyFontFormats="0" applyPatternFormats="0" applyAlignmentFormats="0" applyWidthHeightFormats="0">
  <queryTableRefresh nextId="9" unboundColumnsRight="1">
    <queryTableFields count="8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  <queryTableField id="8" dataBound="0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CAB8C5E9-44A5-47D5-925B-B9695442DB61}" autoFormatId="16" applyNumberFormats="0" applyBorderFormats="0" applyFontFormats="0" applyPatternFormats="0" applyAlignmentFormats="0" applyWidthHeightFormats="0">
  <queryTableRefresh nextId="9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E525CF0F-FC65-49B4-A0F3-41822450B997}" autoFormatId="16" applyNumberFormats="0" applyBorderFormats="0" applyFontFormats="0" applyPatternFormats="0" applyAlignmentFormats="0" applyWidthHeightFormats="0">
  <queryTableRefresh nextId="8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77D2CD4-7ACF-4FFF-BAAA-8D401FD518E8}" autoFormatId="16" applyNumberFormats="0" applyBorderFormats="0" applyFontFormats="0" applyPatternFormats="0" applyAlignmentFormats="0" applyWidthHeightFormats="0">
  <queryTableRefresh nextId="9">
    <queryTableFields count="7">
      <queryTableField id="1" name="book_id" tableColumnId="1"/>
      <queryTableField id="2" name="title" tableColumnId="2"/>
      <queryTableField id="3" name="author" tableColumnId="3"/>
      <queryTableField id="4" name="genre" tableColumnId="4"/>
      <queryTableField id="5" name="published_year" tableColumnId="5"/>
      <queryTableField id="6" name="price" tableColumnId="6"/>
      <queryTableField id="7" name="stock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292561-4D76-4797-955A-4013AC3A4A97}" name="BOOKS_RECORDS" displayName="BOOKS_RECORDS" ref="A1:H106" tableType="queryTable" totalsRowShown="0">
  <autoFilter ref="A1:H106" xr:uid="{72292561-4D76-4797-955A-4013AC3A4A97}"/>
  <sortState xmlns:xlrd2="http://schemas.microsoft.com/office/spreadsheetml/2017/richdata2" ref="A2:G106">
    <sortCondition ref="B2:B106"/>
    <sortCondition descending="1" ref="E2:E106"/>
    <sortCondition descending="1" ref="G2:G106"/>
    <sortCondition descending="1" ref="F2:F106"/>
  </sortState>
  <tableColumns count="8">
    <tableColumn id="1" xr3:uid="{2207B80B-0C63-4911-8663-E62234CD4FF5}" uniqueName="1" name="book_id" queryTableFieldId="1"/>
    <tableColumn id="2" xr3:uid="{42A4FFEA-9362-4328-A68A-DACED17D4751}" uniqueName="2" name="title" queryTableFieldId="2" dataDxfId="59"/>
    <tableColumn id="3" xr3:uid="{8A4D1C9F-71DA-48F1-AE30-4B099BE09C28}" uniqueName="3" name="author" queryTableFieldId="3" dataDxfId="58"/>
    <tableColumn id="4" xr3:uid="{AC879028-1A8B-4E2E-BF37-AF550391193E}" uniqueName="4" name="genre" queryTableFieldId="4" dataDxfId="57"/>
    <tableColumn id="5" xr3:uid="{1202B74F-0A75-4D26-A335-77509B73C8FA}" uniqueName="5" name="published_year" queryTableFieldId="5"/>
    <tableColumn id="6" xr3:uid="{7FA38CDA-B6CE-4C02-A351-5BCFA10E3E4B}" uniqueName="6" name="price" queryTableFieldId="6"/>
    <tableColumn id="7" xr3:uid="{9ABC28F3-638D-42A9-930A-E2E6A6E6299C}" uniqueName="7" name="stock " queryTableFieldId="7"/>
    <tableColumn id="8" xr3:uid="{BF22A457-FE33-4820-853B-2409F7BC2F93}" uniqueName="8" name="Date" queryTableFieldId="8" dataDxfId="56">
      <calculatedColumnFormula>RANDBETWEEN(DATE(2023,1,1), DATE(2025,12,31))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0508A-916F-43A7-BB4F-C8A2DC94AAA7}" name="BOOKS_RECORDS4" displayName="BOOKS_RECORDS4" ref="A1:G103" tableType="queryTable" totalsRowShown="0">
  <sortState xmlns:xlrd2="http://schemas.microsoft.com/office/spreadsheetml/2017/richdata2" ref="A2:G103">
    <sortCondition ref="B2:B103"/>
    <sortCondition descending="1" ref="E2:E103"/>
    <sortCondition descending="1" ref="G2:G103"/>
    <sortCondition descending="1" ref="F2:F103"/>
  </sortState>
  <tableColumns count="7">
    <tableColumn id="1" xr3:uid="{83B37F36-2508-40C6-8E80-2BEDD2272FC9}" uniqueName="1" name="book_id" queryTableFieldId="1"/>
    <tableColumn id="2" xr3:uid="{195DE3AE-DF64-425C-B97C-94F6E26AE893}" uniqueName="2" name="title" queryTableFieldId="2" dataDxfId="55"/>
    <tableColumn id="3" xr3:uid="{7AAE14AA-7931-4397-B398-502DE2B9AC35}" uniqueName="3" name="author" queryTableFieldId="3" dataDxfId="54"/>
    <tableColumn id="4" xr3:uid="{C92110C2-6C2E-4EA7-9505-0ABD0C484B9F}" uniqueName="4" name="genre" queryTableFieldId="4" dataDxfId="53"/>
    <tableColumn id="5" xr3:uid="{D4AB8729-75BC-4336-9A00-2B03EBC1083A}" uniqueName="5" name="published_year" queryTableFieldId="5"/>
    <tableColumn id="6" xr3:uid="{2FB3FFE8-70D3-456E-996E-1CBEA33A8022}" uniqueName="6" name="price" queryTableFieldId="6"/>
    <tableColumn id="7" xr3:uid="{E546F0DF-E4B8-4FE4-B8C0-4EA37D6F6CF9}" uniqueName="7" name="stock " queryTableField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55E3B1-AA89-4223-AFDB-19D3FF90E20F}" name="BOOKS_RECORDS3" displayName="BOOKS_RECORDS3" ref="A1:G106" tableType="queryTable" totalsRowShown="0">
  <autoFilter ref="A1:G106" xr:uid="{2355E3B1-AA89-4223-AFDB-19D3FF90E20F}">
    <filterColumn colId="3">
      <customFilters>
        <customFilter val="*Fiction*"/>
      </customFilters>
    </filterColumn>
    <filterColumn colId="4">
      <filters>
        <filter val="2014"/>
        <filter val="2020"/>
        <filter val="2021"/>
        <filter val="2022"/>
      </filters>
    </filterColumn>
  </autoFilter>
  <sortState xmlns:xlrd2="http://schemas.microsoft.com/office/spreadsheetml/2017/richdata2" ref="A2:G106">
    <sortCondition ref="B1:B105"/>
    <sortCondition descending="1" ref="E1:E105"/>
    <sortCondition descending="1" ref="G1:G105"/>
    <sortCondition descending="1" ref="F1:F105"/>
  </sortState>
  <tableColumns count="7">
    <tableColumn id="1" xr3:uid="{243BE272-349A-43DF-B74C-81690794819D}" uniqueName="1" name="book_id" queryTableFieldId="1"/>
    <tableColumn id="2" xr3:uid="{E1A49E6C-4AF7-491D-8E34-42B6A0E9D2F8}" uniqueName="2" name="title" queryTableFieldId="2" dataDxfId="62"/>
    <tableColumn id="3" xr3:uid="{8E25A2B7-80C4-471D-9981-26F5914A5E0F}" uniqueName="3" name="author" queryTableFieldId="3" dataDxfId="61"/>
    <tableColumn id="4" xr3:uid="{29634DC7-E528-43B2-AFA8-6BD5DD1C8439}" uniqueName="4" name="genre" queryTableFieldId="4" dataDxfId="60"/>
    <tableColumn id="5" xr3:uid="{8B2CA7CE-834F-40B6-BF50-6EDB91CDAF8B}" uniqueName="5" name="published_year" queryTableFieldId="5"/>
    <tableColumn id="6" xr3:uid="{9D38595D-EC76-473C-8B9D-9BD2C7F51D4B}" uniqueName="6" name="price" queryTableFieldId="6"/>
    <tableColumn id="7" xr3:uid="{CED9A3DC-045D-484E-B2EB-20BB24E74DBB}" uniqueName="7" name="stock " queryTableField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2FA3D17-5325-4F6C-84F5-24FCE0DD35F2}" name="BOOKS_RECORDS5" displayName="BOOKS_RECORDS5" ref="A2:G107" tableType="queryTable" totalsRowShown="0">
  <autoFilter ref="A2:G107" xr:uid="{92FA3D17-5325-4F6C-84F5-24FCE0DD35F2}"/>
  <sortState xmlns:xlrd2="http://schemas.microsoft.com/office/spreadsheetml/2017/richdata2" ref="A3:G107">
    <sortCondition ref="B3:B107"/>
    <sortCondition descending="1" ref="E3:E107"/>
    <sortCondition descending="1" ref="G3:G107"/>
    <sortCondition descending="1" ref="F3:F107"/>
  </sortState>
  <tableColumns count="7">
    <tableColumn id="1" xr3:uid="{53CBB579-D1D5-417A-99D8-78C6D01A8541}" uniqueName="1" name="book_id" queryTableFieldId="1" dataDxfId="52"/>
    <tableColumn id="2" xr3:uid="{85CD138B-8D3E-4598-B6D7-787B09F932EF}" uniqueName="2" name="title" queryTableFieldId="2" dataDxfId="51"/>
    <tableColumn id="3" xr3:uid="{14BC557C-9C1D-44AF-8165-A92AEFA795A5}" uniqueName="3" name="author" queryTableFieldId="3" dataDxfId="50"/>
    <tableColumn id="4" xr3:uid="{F92F39C7-6CBC-481D-942E-702A0CCCAD51}" uniqueName="4" name="genre" queryTableFieldId="4" dataDxfId="49"/>
    <tableColumn id="5" xr3:uid="{4149B93C-8E01-4EA8-8DCB-92C2C714D989}" uniqueName="5" name="published_year" queryTableFieldId="5" dataDxfId="48"/>
    <tableColumn id="6" xr3:uid="{295962D4-5523-4497-A091-D955D67E6628}" uniqueName="6" name="price" queryTableFieldId="6" dataDxfId="47"/>
    <tableColumn id="7" xr3:uid="{798BA5B9-AF66-4A09-8DF0-0B4201E107DF}" uniqueName="7" name="stock " queryTableFieldId="7" dataDxfId="4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AC8A7-989D-4024-8134-A669AD81975F}">
  <dimension ref="A1:P217"/>
  <sheetViews>
    <sheetView tabSelected="1" zoomScale="99" zoomScaleNormal="99" workbookViewId="0">
      <selection activeCell="J2" sqref="J2"/>
    </sheetView>
  </sheetViews>
  <sheetFormatPr defaultRowHeight="14.4" x14ac:dyDescent="0.3"/>
  <cols>
    <col min="1" max="1" width="10.109375" bestFit="1" customWidth="1"/>
    <col min="2" max="2" width="24.5546875" bestFit="1" customWidth="1"/>
    <col min="3" max="3" width="15.5546875" bestFit="1" customWidth="1"/>
    <col min="4" max="4" width="18" bestFit="1" customWidth="1"/>
    <col min="5" max="5" width="16.21875" bestFit="1" customWidth="1"/>
    <col min="6" max="6" width="8.21875" bestFit="1" customWidth="1"/>
    <col min="7" max="7" width="7.6640625" bestFit="1" customWidth="1"/>
    <col min="8" max="8" width="10.44140625" style="6" bestFit="1" customWidth="1"/>
    <col min="9" max="9" width="4" bestFit="1" customWidth="1"/>
    <col min="10" max="10" width="25.109375" bestFit="1" customWidth="1"/>
    <col min="11" max="11" width="15.88671875" bestFit="1" customWidth="1"/>
    <col min="12" max="12" width="18.21875" bestFit="1" customWidth="1"/>
    <col min="13" max="13" width="5" bestFit="1" customWidth="1"/>
    <col min="14" max="14" width="7.109375" bestFit="1" customWidth="1"/>
    <col min="15" max="15" width="3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H1" s="6" t="s">
        <v>228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224</v>
      </c>
    </row>
    <row r="2" spans="1:16" x14ac:dyDescent="0.3">
      <c r="A2">
        <v>75</v>
      </c>
      <c r="B2" t="s">
        <v>165</v>
      </c>
      <c r="C2" t="s">
        <v>166</v>
      </c>
      <c r="D2" t="s">
        <v>14</v>
      </c>
      <c r="E2">
        <v>2017</v>
      </c>
      <c r="F2">
        <v>310</v>
      </c>
      <c r="G2">
        <v>19</v>
      </c>
      <c r="H2" s="6">
        <f t="shared" ref="H2:H33" ca="1" si="0">RANDBETWEEN(DATE(2023,1,1), DATE(2025,12,31))</f>
        <v>45773</v>
      </c>
      <c r="I2" cm="1">
        <f t="array" aca="1" ref="I2:P106" ca="1">_xlfn._xlws.SORT(BOOKS_RECORDS[],2,1,)</f>
        <v>75</v>
      </c>
      <c r="J2" t="str">
        <f ca="1"/>
        <v>A Song of Fireflies</v>
      </c>
      <c r="K2" t="str">
        <f ca="1"/>
        <v>Grace Hughes</v>
      </c>
      <c r="L2" t="str">
        <f ca="1"/>
        <v>Romance</v>
      </c>
      <c r="M2">
        <f ca="1"/>
        <v>2017</v>
      </c>
      <c r="N2">
        <f ca="1"/>
        <v>310</v>
      </c>
      <c r="O2">
        <f ca="1"/>
        <v>19</v>
      </c>
      <c r="P2">
        <f ca="1"/>
        <v>45773</v>
      </c>
    </row>
    <row r="3" spans="1:16" x14ac:dyDescent="0.3">
      <c r="A3">
        <v>22</v>
      </c>
      <c r="B3" t="s">
        <v>57</v>
      </c>
      <c r="C3" t="s">
        <v>58</v>
      </c>
      <c r="D3" t="s">
        <v>14</v>
      </c>
      <c r="E3">
        <v>2019</v>
      </c>
      <c r="F3">
        <v>320</v>
      </c>
      <c r="G3">
        <v>22</v>
      </c>
      <c r="H3" s="6">
        <f t="shared" ca="1" si="0"/>
        <v>45403</v>
      </c>
      <c r="I3">
        <f ca="1"/>
        <v>22</v>
      </c>
      <c r="J3" t="str">
        <f ca="1"/>
        <v>A Winter’s Promise</v>
      </c>
      <c r="K3" t="str">
        <f ca="1"/>
        <v>Grace Collins</v>
      </c>
      <c r="L3" t="str">
        <f ca="1"/>
        <v>Romance</v>
      </c>
      <c r="M3">
        <f ca="1"/>
        <v>2019</v>
      </c>
      <c r="N3">
        <f ca="1"/>
        <v>320</v>
      </c>
      <c r="O3">
        <f ca="1"/>
        <v>22</v>
      </c>
      <c r="P3">
        <f ca="1"/>
        <v>45403</v>
      </c>
    </row>
    <row r="4" spans="1:16" x14ac:dyDescent="0.3">
      <c r="A4">
        <v>85</v>
      </c>
      <c r="B4" t="s">
        <v>185</v>
      </c>
      <c r="C4" t="s">
        <v>186</v>
      </c>
      <c r="D4" t="s">
        <v>23</v>
      </c>
      <c r="E4">
        <v>2019</v>
      </c>
      <c r="F4">
        <v>320.25</v>
      </c>
      <c r="G4">
        <v>17</v>
      </c>
      <c r="H4" s="6">
        <f t="shared" ca="1" si="0"/>
        <v>45593</v>
      </c>
      <c r="I4">
        <f ca="1"/>
        <v>85</v>
      </c>
      <c r="J4" t="str">
        <f ca="1"/>
        <v>Ashes and Embers</v>
      </c>
      <c r="K4" t="str">
        <f ca="1"/>
        <v>Lily Thompson</v>
      </c>
      <c r="L4" t="str">
        <f ca="1"/>
        <v>Drama</v>
      </c>
      <c r="M4">
        <f ca="1"/>
        <v>2019</v>
      </c>
      <c r="N4">
        <f ca="1"/>
        <v>320.25</v>
      </c>
      <c r="O4">
        <f ca="1"/>
        <v>17</v>
      </c>
      <c r="P4">
        <f ca="1"/>
        <v>45593</v>
      </c>
    </row>
    <row r="5" spans="1:16" x14ac:dyDescent="0.3">
      <c r="A5">
        <v>18</v>
      </c>
      <c r="B5" t="s">
        <v>48</v>
      </c>
      <c r="C5" t="s">
        <v>49</v>
      </c>
      <c r="D5" t="s">
        <v>17</v>
      </c>
      <c r="E5">
        <v>2016</v>
      </c>
      <c r="F5">
        <v>450</v>
      </c>
      <c r="G5">
        <v>14</v>
      </c>
      <c r="H5" s="6">
        <f t="shared" ca="1" si="0"/>
        <v>45883</v>
      </c>
      <c r="I5">
        <f ca="1"/>
        <v>18</v>
      </c>
      <c r="J5" t="str">
        <f ca="1"/>
        <v>Ashes of the Empire</v>
      </c>
      <c r="K5" t="str">
        <f ca="1"/>
        <v>Harper Scott</v>
      </c>
      <c r="L5" t="str">
        <f ca="1"/>
        <v>Historical Fiction</v>
      </c>
      <c r="M5">
        <f ca="1"/>
        <v>2016</v>
      </c>
      <c r="N5">
        <f ca="1"/>
        <v>450</v>
      </c>
      <c r="O5">
        <f ca="1"/>
        <v>14</v>
      </c>
      <c r="P5">
        <f ca="1"/>
        <v>45883</v>
      </c>
    </row>
    <row r="6" spans="1:16" x14ac:dyDescent="0.3">
      <c r="A6">
        <v>4</v>
      </c>
      <c r="B6" t="s">
        <v>15</v>
      </c>
      <c r="C6" t="s">
        <v>16</v>
      </c>
      <c r="D6" t="s">
        <v>17</v>
      </c>
      <c r="E6">
        <v>2019</v>
      </c>
      <c r="F6">
        <v>450.25</v>
      </c>
      <c r="G6">
        <v>14</v>
      </c>
      <c r="H6" s="6">
        <f t="shared" ca="1" si="0"/>
        <v>45349</v>
      </c>
      <c r="I6">
        <f ca="1"/>
        <v>4</v>
      </c>
      <c r="J6" t="str">
        <f ca="1"/>
        <v>Beneath the Crimson Sky</v>
      </c>
      <c r="K6" t="str">
        <f ca="1"/>
        <v>Noah Brooks</v>
      </c>
      <c r="L6" t="str">
        <f ca="1"/>
        <v>Historical Fiction</v>
      </c>
      <c r="M6">
        <f ca="1"/>
        <v>2019</v>
      </c>
      <c r="N6">
        <f ca="1"/>
        <v>450.25</v>
      </c>
      <c r="O6">
        <f ca="1"/>
        <v>14</v>
      </c>
      <c r="P6">
        <f ca="1"/>
        <v>45349</v>
      </c>
    </row>
    <row r="7" spans="1:16" x14ac:dyDescent="0.3">
      <c r="A7">
        <v>24</v>
      </c>
      <c r="B7" t="s">
        <v>61</v>
      </c>
      <c r="C7" t="s">
        <v>62</v>
      </c>
      <c r="D7" t="s">
        <v>26</v>
      </c>
      <c r="E7">
        <v>2018</v>
      </c>
      <c r="F7">
        <v>410.9</v>
      </c>
      <c r="G7">
        <v>13</v>
      </c>
      <c r="H7" s="6">
        <f t="shared" ca="1" si="0"/>
        <v>45755</v>
      </c>
      <c r="I7">
        <f ca="1"/>
        <v>24</v>
      </c>
      <c r="J7" t="str">
        <f ca="1"/>
        <v>Beneath the Ice</v>
      </c>
      <c r="K7" t="str">
        <f ca="1"/>
        <v>Scarlett Ward</v>
      </c>
      <c r="L7" t="str">
        <f ca="1"/>
        <v>Thriller</v>
      </c>
      <c r="M7">
        <f ca="1"/>
        <v>2018</v>
      </c>
      <c r="N7">
        <f ca="1"/>
        <v>410.9</v>
      </c>
      <c r="O7">
        <f ca="1"/>
        <v>13</v>
      </c>
      <c r="P7">
        <f ca="1"/>
        <v>45755</v>
      </c>
    </row>
    <row r="8" spans="1:16" x14ac:dyDescent="0.3">
      <c r="A8">
        <v>61</v>
      </c>
      <c r="B8" t="s">
        <v>137</v>
      </c>
      <c r="C8" t="s">
        <v>138</v>
      </c>
      <c r="D8" t="s">
        <v>14</v>
      </c>
      <c r="E8">
        <v>2018</v>
      </c>
      <c r="F8">
        <v>290</v>
      </c>
      <c r="G8">
        <v>25</v>
      </c>
      <c r="H8" s="6">
        <f t="shared" ca="1" si="0"/>
        <v>45534</v>
      </c>
      <c r="I8">
        <f ca="1"/>
        <v>61</v>
      </c>
      <c r="J8" t="str">
        <f ca="1"/>
        <v>Beneath the Moon</v>
      </c>
      <c r="K8" t="str">
        <f ca="1"/>
        <v>Liam Thompson</v>
      </c>
      <c r="L8" t="str">
        <f ca="1"/>
        <v>Romance</v>
      </c>
      <c r="M8">
        <f ca="1"/>
        <v>2018</v>
      </c>
      <c r="N8">
        <f ca="1"/>
        <v>290</v>
      </c>
      <c r="O8">
        <f ca="1"/>
        <v>25</v>
      </c>
      <c r="P8">
        <f ca="1"/>
        <v>45534</v>
      </c>
    </row>
    <row r="9" spans="1:16" x14ac:dyDescent="0.3">
      <c r="A9">
        <v>33</v>
      </c>
      <c r="B9" t="s">
        <v>81</v>
      </c>
      <c r="C9" t="s">
        <v>82</v>
      </c>
      <c r="D9" t="s">
        <v>11</v>
      </c>
      <c r="E9">
        <v>2022</v>
      </c>
      <c r="F9">
        <v>720</v>
      </c>
      <c r="G9">
        <v>8</v>
      </c>
      <c r="H9" s="6">
        <f t="shared" ca="1" si="0"/>
        <v>45245</v>
      </c>
      <c r="I9">
        <f ca="1"/>
        <v>33</v>
      </c>
      <c r="J9" t="str">
        <f ca="1"/>
        <v>Beyond the Stars</v>
      </c>
      <c r="K9" t="str">
        <f ca="1"/>
        <v>Owen Stewart</v>
      </c>
      <c r="L9" t="str">
        <f ca="1"/>
        <v>Science Fiction</v>
      </c>
      <c r="M9">
        <f ca="1"/>
        <v>2022</v>
      </c>
      <c r="N9">
        <f ca="1"/>
        <v>720</v>
      </c>
      <c r="O9">
        <f ca="1"/>
        <v>8</v>
      </c>
      <c r="P9">
        <f ca="1"/>
        <v>45245</v>
      </c>
    </row>
    <row r="10" spans="1:16" x14ac:dyDescent="0.3">
      <c r="A10">
        <v>54</v>
      </c>
      <c r="B10" t="s">
        <v>123</v>
      </c>
      <c r="C10" t="s">
        <v>124</v>
      </c>
      <c r="D10" t="s">
        <v>17</v>
      </c>
      <c r="E10">
        <v>2021</v>
      </c>
      <c r="F10">
        <v>490.75</v>
      </c>
      <c r="G10">
        <v>8</v>
      </c>
      <c r="H10" s="6">
        <f t="shared" ca="1" si="0"/>
        <v>45550</v>
      </c>
      <c r="I10">
        <f ca="1"/>
        <v>54</v>
      </c>
      <c r="J10" t="str">
        <f ca="1"/>
        <v>Blood and Ashes</v>
      </c>
      <c r="K10" t="str">
        <f ca="1"/>
        <v>Sienna Reed</v>
      </c>
      <c r="L10" t="str">
        <f ca="1"/>
        <v>Historical Fiction</v>
      </c>
      <c r="M10">
        <f ca="1"/>
        <v>2021</v>
      </c>
      <c r="N10">
        <f ca="1"/>
        <v>490.75</v>
      </c>
      <c r="O10">
        <f ca="1"/>
        <v>8</v>
      </c>
      <c r="P10">
        <f ca="1"/>
        <v>45550</v>
      </c>
    </row>
    <row r="11" spans="1:16" x14ac:dyDescent="0.3">
      <c r="A11">
        <v>56</v>
      </c>
      <c r="B11" t="s">
        <v>127</v>
      </c>
      <c r="C11" t="s">
        <v>128</v>
      </c>
      <c r="D11" t="s">
        <v>23</v>
      </c>
      <c r="E11">
        <v>2020</v>
      </c>
      <c r="F11">
        <v>330</v>
      </c>
      <c r="G11">
        <v>20</v>
      </c>
      <c r="H11" s="6">
        <f t="shared" ca="1" si="0"/>
        <v>45338</v>
      </c>
      <c r="I11">
        <f ca="1"/>
        <v>56</v>
      </c>
      <c r="J11" t="str">
        <f ca="1"/>
        <v>Broken Chains</v>
      </c>
      <c r="K11" t="str">
        <f ca="1"/>
        <v>Ava Richardson</v>
      </c>
      <c r="L11" t="str">
        <f ca="1"/>
        <v>Drama</v>
      </c>
      <c r="M11">
        <f ca="1"/>
        <v>2020</v>
      </c>
      <c r="N11">
        <f ca="1"/>
        <v>330</v>
      </c>
      <c r="O11">
        <f ca="1"/>
        <v>20</v>
      </c>
      <c r="P11">
        <f ca="1"/>
        <v>45338</v>
      </c>
    </row>
    <row r="12" spans="1:16" x14ac:dyDescent="0.3">
      <c r="A12">
        <v>10</v>
      </c>
      <c r="B12" t="s">
        <v>32</v>
      </c>
      <c r="C12" t="s">
        <v>33</v>
      </c>
      <c r="D12" t="s">
        <v>20</v>
      </c>
      <c r="E12">
        <v>2018</v>
      </c>
      <c r="F12">
        <v>320.75</v>
      </c>
      <c r="G12">
        <v>25</v>
      </c>
      <c r="H12" s="6">
        <f t="shared" ca="1" si="0"/>
        <v>45271</v>
      </c>
      <c r="I12">
        <f ca="1"/>
        <v>10</v>
      </c>
      <c r="J12" t="str">
        <f ca="1"/>
        <v>Chronicles of Dawn</v>
      </c>
      <c r="K12" t="str">
        <f ca="1"/>
        <v>Charlotte Evans</v>
      </c>
      <c r="L12" t="str">
        <f ca="1"/>
        <v>Fantasy</v>
      </c>
      <c r="M12">
        <f ca="1"/>
        <v>2018</v>
      </c>
      <c r="N12">
        <f ca="1"/>
        <v>320.75</v>
      </c>
      <c r="O12">
        <f ca="1"/>
        <v>25</v>
      </c>
      <c r="P12">
        <f ca="1"/>
        <v>45271</v>
      </c>
    </row>
    <row r="13" spans="1:16" x14ac:dyDescent="0.3">
      <c r="A13">
        <v>11</v>
      </c>
      <c r="B13" t="s">
        <v>34</v>
      </c>
      <c r="C13" t="s">
        <v>35</v>
      </c>
      <c r="D13" t="s">
        <v>23</v>
      </c>
      <c r="E13">
        <v>2020</v>
      </c>
      <c r="F13">
        <v>350</v>
      </c>
      <c r="G13">
        <v>11</v>
      </c>
      <c r="H13" s="6">
        <f t="shared" ca="1" si="0"/>
        <v>45645</v>
      </c>
      <c r="I13">
        <f ca="1"/>
        <v>11</v>
      </c>
      <c r="J13" t="str">
        <f ca="1"/>
        <v>City of Broken Dreams</v>
      </c>
      <c r="K13" t="str">
        <f ca="1"/>
        <v>James Lewis</v>
      </c>
      <c r="L13" t="str">
        <f ca="1"/>
        <v>Drama</v>
      </c>
      <c r="M13">
        <f ca="1"/>
        <v>2020</v>
      </c>
      <c r="N13">
        <f ca="1"/>
        <v>350</v>
      </c>
      <c r="O13">
        <f ca="1"/>
        <v>11</v>
      </c>
      <c r="P13">
        <f ca="1"/>
        <v>45645</v>
      </c>
    </row>
    <row r="14" spans="1:16" x14ac:dyDescent="0.3">
      <c r="A14">
        <v>84</v>
      </c>
      <c r="B14" t="s">
        <v>183</v>
      </c>
      <c r="C14" t="s">
        <v>184</v>
      </c>
      <c r="D14" t="s">
        <v>11</v>
      </c>
      <c r="E14">
        <v>2021</v>
      </c>
      <c r="F14">
        <v>680.9</v>
      </c>
      <c r="G14">
        <v>7</v>
      </c>
      <c r="H14" s="6">
        <f t="shared" ca="1" si="0"/>
        <v>45124</v>
      </c>
      <c r="I14">
        <f ca="1"/>
        <v>84</v>
      </c>
      <c r="J14" t="str">
        <f ca="1"/>
        <v>City of Illusions</v>
      </c>
      <c r="K14" t="str">
        <f ca="1"/>
        <v>James Ross</v>
      </c>
      <c r="L14" t="str">
        <f ca="1"/>
        <v>Science Fiction</v>
      </c>
      <c r="M14">
        <f ca="1"/>
        <v>2021</v>
      </c>
      <c r="N14">
        <f ca="1"/>
        <v>680.9</v>
      </c>
      <c r="O14">
        <f ca="1"/>
        <v>7</v>
      </c>
      <c r="P14">
        <f ca="1"/>
        <v>45124</v>
      </c>
    </row>
    <row r="15" spans="1:16" x14ac:dyDescent="0.3">
      <c r="A15">
        <v>58</v>
      </c>
      <c r="B15" t="s">
        <v>131</v>
      </c>
      <c r="C15" t="s">
        <v>132</v>
      </c>
      <c r="D15" t="s">
        <v>20</v>
      </c>
      <c r="E15">
        <v>2021</v>
      </c>
      <c r="F15">
        <v>590</v>
      </c>
      <c r="G15">
        <v>10</v>
      </c>
      <c r="H15" s="6">
        <f t="shared" ca="1" si="0"/>
        <v>45532</v>
      </c>
      <c r="I15">
        <f ca="1"/>
        <v>58</v>
      </c>
      <c r="J15" t="str">
        <f ca="1"/>
        <v>City of Smoke</v>
      </c>
      <c r="K15" t="str">
        <f ca="1"/>
        <v>Ella Morris</v>
      </c>
      <c r="L15" t="str">
        <f ca="1"/>
        <v>Fantasy</v>
      </c>
      <c r="M15">
        <f ca="1"/>
        <v>2021</v>
      </c>
      <c r="N15">
        <f ca="1"/>
        <v>590</v>
      </c>
      <c r="O15">
        <f ca="1"/>
        <v>10</v>
      </c>
      <c r="P15">
        <f ca="1"/>
        <v>45532</v>
      </c>
    </row>
    <row r="16" spans="1:16" x14ac:dyDescent="0.3">
      <c r="A16">
        <v>64</v>
      </c>
      <c r="B16" t="s">
        <v>143</v>
      </c>
      <c r="C16" t="s">
        <v>144</v>
      </c>
      <c r="D16" t="s">
        <v>26</v>
      </c>
      <c r="E16">
        <v>2021</v>
      </c>
      <c r="F16">
        <v>610.5</v>
      </c>
      <c r="G16">
        <v>8</v>
      </c>
      <c r="H16" s="6">
        <f t="shared" ca="1" si="0"/>
        <v>45039</v>
      </c>
      <c r="I16">
        <f ca="1"/>
        <v>64</v>
      </c>
      <c r="J16" t="str">
        <f ca="1"/>
        <v>Crimson Winter</v>
      </c>
      <c r="K16" t="str">
        <f ca="1"/>
        <v>Noah Scott</v>
      </c>
      <c r="L16" t="str">
        <f ca="1"/>
        <v>Thriller</v>
      </c>
      <c r="M16">
        <f ca="1"/>
        <v>2021</v>
      </c>
      <c r="N16">
        <f ca="1"/>
        <v>610.5</v>
      </c>
      <c r="O16">
        <f ca="1"/>
        <v>8</v>
      </c>
      <c r="P16">
        <f ca="1"/>
        <v>45039</v>
      </c>
    </row>
    <row r="17" spans="1:16" x14ac:dyDescent="0.3">
      <c r="A17">
        <v>37</v>
      </c>
      <c r="B17" t="s">
        <v>89</v>
      </c>
      <c r="C17" t="s">
        <v>90</v>
      </c>
      <c r="D17" t="s">
        <v>20</v>
      </c>
      <c r="E17">
        <v>2019</v>
      </c>
      <c r="F17">
        <v>530.20000000000005</v>
      </c>
      <c r="G17">
        <v>10</v>
      </c>
      <c r="H17" s="6">
        <f t="shared" ca="1" si="0"/>
        <v>45658</v>
      </c>
      <c r="I17">
        <f ca="1"/>
        <v>37</v>
      </c>
      <c r="J17" t="str">
        <f ca="1"/>
        <v>Cursed by Fire</v>
      </c>
      <c r="K17" t="str">
        <f ca="1"/>
        <v>Jacob Carter</v>
      </c>
      <c r="L17" t="str">
        <f ca="1"/>
        <v>Fantasy</v>
      </c>
      <c r="M17">
        <f ca="1"/>
        <v>2019</v>
      </c>
      <c r="N17">
        <f ca="1"/>
        <v>530.20000000000005</v>
      </c>
      <c r="O17">
        <f ca="1"/>
        <v>10</v>
      </c>
      <c r="P17">
        <f ca="1"/>
        <v>45658</v>
      </c>
    </row>
    <row r="18" spans="1:16" x14ac:dyDescent="0.3">
      <c r="A18">
        <v>73</v>
      </c>
      <c r="B18" t="s">
        <v>161</v>
      </c>
      <c r="C18" t="s">
        <v>162</v>
      </c>
      <c r="D18" t="s">
        <v>26</v>
      </c>
      <c r="E18">
        <v>2018</v>
      </c>
      <c r="F18">
        <v>380.75</v>
      </c>
      <c r="G18">
        <v>10</v>
      </c>
      <c r="H18" s="6">
        <f t="shared" ca="1" si="0"/>
        <v>45972</v>
      </c>
      <c r="I18">
        <f ca="1"/>
        <v>73</v>
      </c>
      <c r="J18" t="str">
        <f ca="1"/>
        <v>Dark Waters</v>
      </c>
      <c r="K18" t="str">
        <f ca="1"/>
        <v>Emma Scott</v>
      </c>
      <c r="L18" t="str">
        <f ca="1"/>
        <v>Thriller</v>
      </c>
      <c r="M18">
        <f ca="1"/>
        <v>2018</v>
      </c>
      <c r="N18">
        <f ca="1"/>
        <v>380.75</v>
      </c>
      <c r="O18">
        <f ca="1"/>
        <v>10</v>
      </c>
      <c r="P18">
        <f ca="1"/>
        <v>45972</v>
      </c>
    </row>
    <row r="19" spans="1:16" x14ac:dyDescent="0.3">
      <c r="A19">
        <v>41</v>
      </c>
      <c r="B19" t="s">
        <v>97</v>
      </c>
      <c r="C19" t="s">
        <v>98</v>
      </c>
      <c r="D19" t="s">
        <v>54</v>
      </c>
      <c r="E19">
        <v>2019</v>
      </c>
      <c r="F19">
        <v>520.75</v>
      </c>
      <c r="G19">
        <v>9</v>
      </c>
      <c r="H19" s="6">
        <f t="shared" ca="1" si="0"/>
        <v>45074</v>
      </c>
      <c r="I19">
        <f ca="1"/>
        <v>41</v>
      </c>
      <c r="J19" t="str">
        <f ca="1"/>
        <v>Darkness Rising</v>
      </c>
      <c r="K19" t="str">
        <f ca="1"/>
        <v>Isaac Turner</v>
      </c>
      <c r="L19" t="str">
        <f ca="1"/>
        <v>Horror</v>
      </c>
      <c r="M19">
        <f ca="1"/>
        <v>2019</v>
      </c>
      <c r="N19">
        <f ca="1"/>
        <v>520.75</v>
      </c>
      <c r="O19">
        <f ca="1"/>
        <v>9</v>
      </c>
      <c r="P19">
        <f ca="1"/>
        <v>45074</v>
      </c>
    </row>
    <row r="20" spans="1:16" x14ac:dyDescent="0.3">
      <c r="A20">
        <v>87</v>
      </c>
      <c r="B20" t="s">
        <v>189</v>
      </c>
      <c r="C20" t="s">
        <v>190</v>
      </c>
      <c r="D20" t="s">
        <v>20</v>
      </c>
      <c r="E20">
        <v>2018</v>
      </c>
      <c r="F20">
        <v>560.75</v>
      </c>
      <c r="G20">
        <v>9</v>
      </c>
      <c r="H20" s="6">
        <f t="shared" ca="1" si="0"/>
        <v>46000</v>
      </c>
      <c r="I20">
        <f ca="1"/>
        <v>87</v>
      </c>
      <c r="J20" t="str">
        <f ca="1"/>
        <v>Dawn of the Phoenix</v>
      </c>
      <c r="K20" t="str">
        <f ca="1"/>
        <v>Chloe Ward</v>
      </c>
      <c r="L20" t="str">
        <f ca="1"/>
        <v>Fantasy</v>
      </c>
      <c r="M20">
        <f ca="1"/>
        <v>2018</v>
      </c>
      <c r="N20">
        <f ca="1"/>
        <v>560.75</v>
      </c>
      <c r="O20">
        <f ca="1"/>
        <v>9</v>
      </c>
      <c r="P20">
        <f ca="1"/>
        <v>46000</v>
      </c>
    </row>
    <row r="21" spans="1:16" x14ac:dyDescent="0.3">
      <c r="A21">
        <v>19</v>
      </c>
      <c r="B21" t="s">
        <v>50</v>
      </c>
      <c r="C21" t="s">
        <v>51</v>
      </c>
      <c r="D21" t="s">
        <v>20</v>
      </c>
      <c r="E21">
        <v>2019</v>
      </c>
      <c r="F21">
        <v>560.5</v>
      </c>
      <c r="G21">
        <v>10</v>
      </c>
      <c r="H21" s="6">
        <f t="shared" ca="1" si="0"/>
        <v>45500</v>
      </c>
      <c r="I21">
        <f ca="1"/>
        <v>19</v>
      </c>
      <c r="J21" t="str">
        <f ca="1"/>
        <v>Dreamcatcher’s Oath</v>
      </c>
      <c r="K21" t="str">
        <f ca="1"/>
        <v>Henry Morgan</v>
      </c>
      <c r="L21" t="str">
        <f ca="1"/>
        <v>Fantasy</v>
      </c>
      <c r="M21">
        <f ca="1"/>
        <v>2019</v>
      </c>
      <c r="N21">
        <f ca="1"/>
        <v>560.5</v>
      </c>
      <c r="O21">
        <f ca="1"/>
        <v>10</v>
      </c>
      <c r="P21">
        <f ca="1"/>
        <v>45500</v>
      </c>
    </row>
    <row r="22" spans="1:16" x14ac:dyDescent="0.3">
      <c r="A22">
        <v>62</v>
      </c>
      <c r="B22" t="s">
        <v>139</v>
      </c>
      <c r="C22" t="s">
        <v>140</v>
      </c>
      <c r="D22" t="s">
        <v>11</v>
      </c>
      <c r="E22">
        <v>2022</v>
      </c>
      <c r="F22">
        <v>690</v>
      </c>
      <c r="G22">
        <v>7</v>
      </c>
      <c r="H22" s="6">
        <f t="shared" ca="1" si="0"/>
        <v>45107</v>
      </c>
      <c r="I22">
        <f ca="1"/>
        <v>62</v>
      </c>
      <c r="J22" t="str">
        <f ca="1"/>
        <v>Dreams of Tomorrow</v>
      </c>
      <c r="K22" t="str">
        <f ca="1"/>
        <v>Harper Adams</v>
      </c>
      <c r="L22" t="str">
        <f ca="1"/>
        <v>Science Fiction</v>
      </c>
      <c r="M22">
        <f ca="1"/>
        <v>2022</v>
      </c>
      <c r="N22">
        <f ca="1"/>
        <v>690</v>
      </c>
      <c r="O22">
        <f ca="1"/>
        <v>7</v>
      </c>
      <c r="P22">
        <f ca="1"/>
        <v>45107</v>
      </c>
    </row>
    <row r="23" spans="1:16" x14ac:dyDescent="0.3">
      <c r="A23">
        <v>69</v>
      </c>
      <c r="B23" t="s">
        <v>153</v>
      </c>
      <c r="C23" t="s">
        <v>154</v>
      </c>
      <c r="D23" t="s">
        <v>23</v>
      </c>
      <c r="E23">
        <v>2019</v>
      </c>
      <c r="F23">
        <v>310.5</v>
      </c>
      <c r="G23">
        <v>17</v>
      </c>
      <c r="H23" s="6">
        <f t="shared" ca="1" si="0"/>
        <v>45731</v>
      </c>
      <c r="I23">
        <f ca="1"/>
        <v>69</v>
      </c>
      <c r="J23" t="str">
        <f ca="1"/>
        <v>Echo Chamber</v>
      </c>
      <c r="K23" t="str">
        <f ca="1"/>
        <v>Ethan Evans</v>
      </c>
      <c r="L23" t="str">
        <f ca="1"/>
        <v>Drama</v>
      </c>
      <c r="M23">
        <f ca="1"/>
        <v>2019</v>
      </c>
      <c r="N23">
        <f ca="1"/>
        <v>310.5</v>
      </c>
      <c r="O23">
        <f ca="1"/>
        <v>17</v>
      </c>
      <c r="P23">
        <f ca="1"/>
        <v>45731</v>
      </c>
    </row>
    <row r="24" spans="1:16" x14ac:dyDescent="0.3">
      <c r="A24">
        <v>93</v>
      </c>
      <c r="B24" t="s">
        <v>200</v>
      </c>
      <c r="C24" t="s">
        <v>201</v>
      </c>
      <c r="D24" t="s">
        <v>31</v>
      </c>
      <c r="E24">
        <v>2020</v>
      </c>
      <c r="F24">
        <v>470.25</v>
      </c>
      <c r="G24">
        <v>11</v>
      </c>
      <c r="H24" s="6">
        <f t="shared" ca="1" si="0"/>
        <v>45869</v>
      </c>
      <c r="I24">
        <f ca="1"/>
        <v>93</v>
      </c>
      <c r="J24" t="str">
        <f ca="1"/>
        <v>Echo of the Storm</v>
      </c>
      <c r="K24" t="str">
        <f ca="1"/>
        <v>Henry Carter</v>
      </c>
      <c r="L24" t="str">
        <f ca="1"/>
        <v>Adventure</v>
      </c>
      <c r="M24">
        <f ca="1"/>
        <v>2020</v>
      </c>
      <c r="N24">
        <f ca="1"/>
        <v>470.25</v>
      </c>
      <c r="O24">
        <f ca="1"/>
        <v>11</v>
      </c>
      <c r="P24">
        <f ca="1"/>
        <v>45869</v>
      </c>
    </row>
    <row r="25" spans="1:16" x14ac:dyDescent="0.3">
      <c r="A25">
        <v>52</v>
      </c>
      <c r="B25" t="s">
        <v>119</v>
      </c>
      <c r="C25" t="s">
        <v>120</v>
      </c>
      <c r="D25" t="s">
        <v>23</v>
      </c>
      <c r="E25">
        <v>2019</v>
      </c>
      <c r="F25">
        <v>310.25</v>
      </c>
      <c r="G25">
        <v>22</v>
      </c>
      <c r="H25" s="6">
        <f t="shared" ca="1" si="0"/>
        <v>45871</v>
      </c>
      <c r="I25">
        <f ca="1"/>
        <v>52</v>
      </c>
      <c r="J25" t="str">
        <f ca="1"/>
        <v>Echo Valley</v>
      </c>
      <c r="K25" t="str">
        <f ca="1"/>
        <v>Zoe Campbell</v>
      </c>
      <c r="L25" t="str">
        <f ca="1"/>
        <v>Drama</v>
      </c>
      <c r="M25">
        <f ca="1"/>
        <v>2019</v>
      </c>
      <c r="N25">
        <f ca="1"/>
        <v>310.25</v>
      </c>
      <c r="O25">
        <f ca="1"/>
        <v>22</v>
      </c>
      <c r="P25">
        <f ca="1"/>
        <v>45871</v>
      </c>
    </row>
    <row r="26" spans="1:16" x14ac:dyDescent="0.3">
      <c r="A26">
        <v>79</v>
      </c>
      <c r="B26" t="s">
        <v>172</v>
      </c>
      <c r="C26" t="s">
        <v>173</v>
      </c>
      <c r="D26" t="s">
        <v>23</v>
      </c>
      <c r="E26">
        <v>2020</v>
      </c>
      <c r="F26">
        <v>310.89999999999998</v>
      </c>
      <c r="G26">
        <v>22</v>
      </c>
      <c r="H26" s="6">
        <f t="shared" ca="1" si="0"/>
        <v>45564</v>
      </c>
      <c r="I26">
        <f ca="1"/>
        <v>79</v>
      </c>
      <c r="J26" t="str">
        <f ca="1"/>
        <v>Echoes of Silence</v>
      </c>
      <c r="K26" t="str">
        <f ca="1"/>
        <v>Nathan Turner</v>
      </c>
      <c r="L26" t="str">
        <f ca="1"/>
        <v>Drama</v>
      </c>
      <c r="M26">
        <f ca="1"/>
        <v>2020</v>
      </c>
      <c r="N26">
        <f ca="1"/>
        <v>310.89999999999998</v>
      </c>
      <c r="O26">
        <f ca="1"/>
        <v>22</v>
      </c>
      <c r="P26">
        <f ca="1"/>
        <v>45564</v>
      </c>
    </row>
    <row r="27" spans="1:16" x14ac:dyDescent="0.3">
      <c r="A27">
        <v>32</v>
      </c>
      <c r="B27" t="s">
        <v>79</v>
      </c>
      <c r="C27" t="s">
        <v>80</v>
      </c>
      <c r="D27" t="s">
        <v>23</v>
      </c>
      <c r="E27">
        <v>2019</v>
      </c>
      <c r="F27">
        <v>310</v>
      </c>
      <c r="G27">
        <v>25</v>
      </c>
      <c r="H27" s="6">
        <f t="shared" ca="1" si="0"/>
        <v>45726</v>
      </c>
      <c r="I27">
        <f ca="1"/>
        <v>32</v>
      </c>
      <c r="J27" t="str">
        <f ca="1"/>
        <v>Echoes of the Past</v>
      </c>
      <c r="K27" t="str">
        <f ca="1"/>
        <v>Lily Campbell</v>
      </c>
      <c r="L27" t="str">
        <f ca="1"/>
        <v>Drama</v>
      </c>
      <c r="M27">
        <f ca="1"/>
        <v>2019</v>
      </c>
      <c r="N27">
        <f ca="1"/>
        <v>310</v>
      </c>
      <c r="O27">
        <f ca="1"/>
        <v>25</v>
      </c>
      <c r="P27">
        <f ca="1"/>
        <v>45726</v>
      </c>
    </row>
    <row r="28" spans="1:16" x14ac:dyDescent="0.3">
      <c r="A28">
        <v>2</v>
      </c>
      <c r="B28" t="s">
        <v>9</v>
      </c>
      <c r="C28" t="s">
        <v>10</v>
      </c>
      <c r="D28" t="s">
        <v>11</v>
      </c>
      <c r="E28">
        <v>2020</v>
      </c>
      <c r="F28">
        <v>499.5</v>
      </c>
      <c r="G28">
        <v>9</v>
      </c>
      <c r="H28" s="6">
        <f t="shared" ca="1" si="0"/>
        <v>45888</v>
      </c>
      <c r="I28">
        <f ca="1"/>
        <v>2</v>
      </c>
      <c r="J28" t="str">
        <f ca="1"/>
        <v>Echoes of Tomorrow</v>
      </c>
      <c r="K28" t="str">
        <f ca="1"/>
        <v>Liam Carter</v>
      </c>
      <c r="L28" t="str">
        <f ca="1"/>
        <v>Science Fiction</v>
      </c>
      <c r="M28">
        <f ca="1"/>
        <v>2020</v>
      </c>
      <c r="N28">
        <f ca="1"/>
        <v>499.5</v>
      </c>
      <c r="O28">
        <f ca="1"/>
        <v>9</v>
      </c>
      <c r="P28">
        <f ca="1"/>
        <v>45888</v>
      </c>
    </row>
    <row r="29" spans="1:16" x14ac:dyDescent="0.3">
      <c r="A29">
        <v>16</v>
      </c>
      <c r="B29" t="s">
        <v>44</v>
      </c>
      <c r="C29" t="s">
        <v>45</v>
      </c>
      <c r="D29" t="s">
        <v>26</v>
      </c>
      <c r="E29">
        <v>2017</v>
      </c>
      <c r="F29">
        <v>380.9</v>
      </c>
      <c r="G29">
        <v>19</v>
      </c>
      <c r="H29" s="6">
        <f t="shared" ca="1" si="0"/>
        <v>45564</v>
      </c>
      <c r="I29">
        <f ca="1"/>
        <v>16</v>
      </c>
      <c r="J29" t="str">
        <f ca="1"/>
        <v>Edge of Nowhere</v>
      </c>
      <c r="K29" t="str">
        <f ca="1"/>
        <v>Ella Mitchell</v>
      </c>
      <c r="L29" t="str">
        <f ca="1"/>
        <v>Thriller</v>
      </c>
      <c r="M29">
        <f ca="1"/>
        <v>2017</v>
      </c>
      <c r="N29">
        <f ca="1"/>
        <v>380.9</v>
      </c>
      <c r="O29">
        <f ca="1"/>
        <v>19</v>
      </c>
      <c r="P29">
        <f ca="1"/>
        <v>45564</v>
      </c>
    </row>
    <row r="30" spans="1:16" x14ac:dyDescent="0.3">
      <c r="A30">
        <v>105</v>
      </c>
      <c r="B30" t="s">
        <v>222</v>
      </c>
      <c r="C30" t="s">
        <v>223</v>
      </c>
      <c r="D30" t="s">
        <v>11</v>
      </c>
      <c r="E30">
        <v>2020</v>
      </c>
      <c r="F30">
        <v>670</v>
      </c>
      <c r="G30">
        <v>7</v>
      </c>
      <c r="H30" s="6">
        <f t="shared" ca="1" si="0"/>
        <v>44974</v>
      </c>
      <c r="I30">
        <f ca="1"/>
        <v>105</v>
      </c>
      <c r="J30" t="str">
        <f ca="1"/>
        <v>Endless Sky</v>
      </c>
      <c r="K30" t="str">
        <f ca="1"/>
        <v>Jacob Gray</v>
      </c>
      <c r="L30" t="str">
        <f ca="1"/>
        <v>Science Fiction</v>
      </c>
      <c r="M30">
        <f ca="1"/>
        <v>2020</v>
      </c>
      <c r="N30">
        <f ca="1"/>
        <v>670</v>
      </c>
      <c r="O30">
        <f ca="1"/>
        <v>7</v>
      </c>
      <c r="P30">
        <f ca="1"/>
        <v>44974</v>
      </c>
    </row>
    <row r="31" spans="1:16" x14ac:dyDescent="0.3">
      <c r="A31">
        <v>88</v>
      </c>
      <c r="B31" t="s">
        <v>191</v>
      </c>
      <c r="C31" t="s">
        <v>192</v>
      </c>
      <c r="D31" t="s">
        <v>31</v>
      </c>
      <c r="E31">
        <v>2020</v>
      </c>
      <c r="F31">
        <v>500.3</v>
      </c>
      <c r="G31">
        <v>14</v>
      </c>
      <c r="H31" s="6">
        <f t="shared" ca="1" si="0"/>
        <v>45137</v>
      </c>
      <c r="I31">
        <f ca="1"/>
        <v>88</v>
      </c>
      <c r="J31" t="str">
        <f ca="1"/>
        <v>Fallen Kingdom</v>
      </c>
      <c r="K31" t="str">
        <f ca="1"/>
        <v>Logan Parker</v>
      </c>
      <c r="L31" t="str">
        <f ca="1"/>
        <v>Adventure</v>
      </c>
      <c r="M31">
        <f ca="1"/>
        <v>2020</v>
      </c>
      <c r="N31">
        <f ca="1"/>
        <v>500.3</v>
      </c>
      <c r="O31">
        <f ca="1"/>
        <v>14</v>
      </c>
      <c r="P31">
        <f ca="1"/>
        <v>45137</v>
      </c>
    </row>
    <row r="32" spans="1:16" x14ac:dyDescent="0.3">
      <c r="A32">
        <v>51</v>
      </c>
      <c r="B32" t="s">
        <v>117</v>
      </c>
      <c r="C32" t="s">
        <v>118</v>
      </c>
      <c r="D32" t="s">
        <v>11</v>
      </c>
      <c r="E32">
        <v>2018</v>
      </c>
      <c r="F32">
        <v>570.9</v>
      </c>
      <c r="G32">
        <v>10</v>
      </c>
      <c r="H32" s="6">
        <f t="shared" ca="1" si="0"/>
        <v>45487</v>
      </c>
      <c r="I32">
        <f ca="1"/>
        <v>51</v>
      </c>
      <c r="J32" t="str">
        <f ca="1"/>
        <v>Falling Skies</v>
      </c>
      <c r="K32" t="str">
        <f ca="1"/>
        <v>Carter Wright</v>
      </c>
      <c r="L32" t="str">
        <f ca="1"/>
        <v>Science Fiction</v>
      </c>
      <c r="M32">
        <f ca="1"/>
        <v>2018</v>
      </c>
      <c r="N32">
        <f ca="1"/>
        <v>570.9</v>
      </c>
      <c r="O32">
        <f ca="1"/>
        <v>10</v>
      </c>
      <c r="P32">
        <f ca="1"/>
        <v>45487</v>
      </c>
    </row>
    <row r="33" spans="1:16" x14ac:dyDescent="0.3">
      <c r="A33">
        <v>25</v>
      </c>
      <c r="B33" t="s">
        <v>63</v>
      </c>
      <c r="C33" t="s">
        <v>64</v>
      </c>
      <c r="D33" t="s">
        <v>23</v>
      </c>
      <c r="E33">
        <v>2017</v>
      </c>
      <c r="F33">
        <v>360</v>
      </c>
      <c r="G33">
        <v>18</v>
      </c>
      <c r="H33" s="6">
        <f t="shared" ca="1" si="0"/>
        <v>45369</v>
      </c>
      <c r="I33">
        <f ca="1"/>
        <v>25</v>
      </c>
      <c r="J33" t="str">
        <f ca="1"/>
        <v>Fires of Redemption</v>
      </c>
      <c r="K33" t="str">
        <f ca="1"/>
        <v>Daniel Perry</v>
      </c>
      <c r="L33" t="str">
        <f ca="1"/>
        <v>Drama</v>
      </c>
      <c r="M33">
        <f ca="1"/>
        <v>2017</v>
      </c>
      <c r="N33">
        <f ca="1"/>
        <v>360</v>
      </c>
      <c r="O33">
        <f ca="1"/>
        <v>18</v>
      </c>
      <c r="P33">
        <f ca="1"/>
        <v>45369</v>
      </c>
    </row>
    <row r="34" spans="1:16" x14ac:dyDescent="0.3">
      <c r="A34">
        <v>59</v>
      </c>
      <c r="B34" t="s">
        <v>133</v>
      </c>
      <c r="C34" t="s">
        <v>134</v>
      </c>
      <c r="D34" t="s">
        <v>26</v>
      </c>
      <c r="E34">
        <v>2020</v>
      </c>
      <c r="F34">
        <v>550.9</v>
      </c>
      <c r="G34">
        <v>9</v>
      </c>
      <c r="H34" s="6">
        <f t="shared" ref="H34:H65" ca="1" si="1">RANDBETWEEN(DATE(2023,1,1), DATE(2025,12,31))</f>
        <v>45876</v>
      </c>
      <c r="I34">
        <f ca="1"/>
        <v>59</v>
      </c>
      <c r="J34" t="str">
        <f ca="1"/>
        <v>Firestorm</v>
      </c>
      <c r="K34" t="str">
        <f ca="1"/>
        <v>Daniel Collins</v>
      </c>
      <c r="L34" t="str">
        <f ca="1"/>
        <v>Thriller</v>
      </c>
      <c r="M34">
        <f ca="1"/>
        <v>2020</v>
      </c>
      <c r="N34">
        <f ca="1"/>
        <v>550.9</v>
      </c>
      <c r="O34">
        <f ca="1"/>
        <v>9</v>
      </c>
      <c r="P34">
        <f ca="1"/>
        <v>45876</v>
      </c>
    </row>
    <row r="35" spans="1:16" x14ac:dyDescent="0.3">
      <c r="A35">
        <v>6</v>
      </c>
      <c r="B35" t="s">
        <v>21</v>
      </c>
      <c r="C35" t="s">
        <v>22</v>
      </c>
      <c r="D35" t="s">
        <v>23</v>
      </c>
      <c r="E35">
        <v>2015</v>
      </c>
      <c r="F35">
        <v>280.39999999999998</v>
      </c>
      <c r="G35">
        <v>8</v>
      </c>
      <c r="H35" s="6">
        <f t="shared" ca="1" si="1"/>
        <v>45304</v>
      </c>
      <c r="I35">
        <f ca="1"/>
        <v>6</v>
      </c>
      <c r="J35" t="str">
        <f ca="1"/>
        <v>Fragments of Light</v>
      </c>
      <c r="K35" t="str">
        <f ca="1"/>
        <v>Ethan Hughes</v>
      </c>
      <c r="L35" t="str">
        <f ca="1"/>
        <v>Drama</v>
      </c>
      <c r="M35">
        <f ca="1"/>
        <v>2015</v>
      </c>
      <c r="N35">
        <f ca="1"/>
        <v>280.39999999999998</v>
      </c>
      <c r="O35">
        <f ca="1"/>
        <v>8</v>
      </c>
      <c r="P35">
        <f ca="1"/>
        <v>45304</v>
      </c>
    </row>
    <row r="36" spans="1:16" x14ac:dyDescent="0.3">
      <c r="A36">
        <v>68</v>
      </c>
      <c r="B36" t="s">
        <v>151</v>
      </c>
      <c r="C36" t="s">
        <v>152</v>
      </c>
      <c r="D36" t="s">
        <v>14</v>
      </c>
      <c r="E36">
        <v>2021</v>
      </c>
      <c r="F36">
        <v>320</v>
      </c>
      <c r="G36">
        <v>21</v>
      </c>
      <c r="H36" s="6">
        <f t="shared" ca="1" si="1"/>
        <v>45857</v>
      </c>
      <c r="I36">
        <f ca="1"/>
        <v>68</v>
      </c>
      <c r="J36" t="str">
        <f ca="1"/>
        <v>Heart of Shadows</v>
      </c>
      <c r="K36" t="str">
        <f ca="1"/>
        <v>Charlotte Morgan</v>
      </c>
      <c r="L36" t="str">
        <f ca="1"/>
        <v>Romance</v>
      </c>
      <c r="M36">
        <f ca="1"/>
        <v>2021</v>
      </c>
      <c r="N36">
        <f ca="1"/>
        <v>320</v>
      </c>
      <c r="O36">
        <f ca="1"/>
        <v>21</v>
      </c>
      <c r="P36">
        <f ca="1"/>
        <v>45857</v>
      </c>
    </row>
    <row r="37" spans="1:16" x14ac:dyDescent="0.3">
      <c r="A37">
        <v>27</v>
      </c>
      <c r="B37" t="s">
        <v>67</v>
      </c>
      <c r="C37" t="s">
        <v>68</v>
      </c>
      <c r="D37" t="s">
        <v>8</v>
      </c>
      <c r="E37">
        <v>2015</v>
      </c>
      <c r="F37">
        <v>340</v>
      </c>
      <c r="G37">
        <v>20</v>
      </c>
      <c r="H37" s="6">
        <f t="shared" ca="1" si="1"/>
        <v>45145</v>
      </c>
      <c r="I37">
        <f ca="1"/>
        <v>27</v>
      </c>
      <c r="J37" t="str">
        <f ca="1"/>
        <v>House of Secrets</v>
      </c>
      <c r="K37" t="str">
        <f ca="1"/>
        <v>Matthew Reed</v>
      </c>
      <c r="L37" t="str">
        <f ca="1"/>
        <v>Mystery</v>
      </c>
      <c r="M37">
        <f ca="1"/>
        <v>2015</v>
      </c>
      <c r="N37">
        <f ca="1"/>
        <v>340</v>
      </c>
      <c r="O37">
        <f ca="1"/>
        <v>20</v>
      </c>
      <c r="P37">
        <f ca="1"/>
        <v>45145</v>
      </c>
    </row>
    <row r="38" spans="1:16" x14ac:dyDescent="0.3">
      <c r="A38">
        <v>45</v>
      </c>
      <c r="B38" t="s">
        <v>105</v>
      </c>
      <c r="C38" t="s">
        <v>106</v>
      </c>
      <c r="D38" t="s">
        <v>54</v>
      </c>
      <c r="E38">
        <v>2019</v>
      </c>
      <c r="F38">
        <v>420</v>
      </c>
      <c r="G38">
        <v>15</v>
      </c>
      <c r="H38" s="6">
        <f t="shared" ca="1" si="1"/>
        <v>45718</v>
      </c>
      <c r="I38">
        <f ca="1"/>
        <v>45</v>
      </c>
      <c r="J38" t="str">
        <f ca="1"/>
        <v>Into the Abyss</v>
      </c>
      <c r="K38" t="str">
        <f ca="1"/>
        <v>Ella Stewart</v>
      </c>
      <c r="L38" t="str">
        <f ca="1"/>
        <v>Horror</v>
      </c>
      <c r="M38">
        <f ca="1"/>
        <v>2019</v>
      </c>
      <c r="N38">
        <f ca="1"/>
        <v>420</v>
      </c>
      <c r="O38">
        <f ca="1"/>
        <v>15</v>
      </c>
      <c r="P38">
        <f ca="1"/>
        <v>45718</v>
      </c>
    </row>
    <row r="39" spans="1:16" x14ac:dyDescent="0.3">
      <c r="A39">
        <v>103</v>
      </c>
      <c r="B39" t="s">
        <v>219</v>
      </c>
      <c r="C39" t="s">
        <v>220</v>
      </c>
      <c r="D39" t="s">
        <v>31</v>
      </c>
      <c r="E39">
        <v>2021</v>
      </c>
      <c r="F39">
        <v>510</v>
      </c>
      <c r="G39">
        <v>9</v>
      </c>
      <c r="H39" s="6">
        <f t="shared" ca="1" si="1"/>
        <v>44971</v>
      </c>
      <c r="I39">
        <f ca="1"/>
        <v>103</v>
      </c>
      <c r="J39" t="str">
        <f ca="1"/>
        <v>Journey to Oblivion</v>
      </c>
      <c r="K39" t="str">
        <f ca="1"/>
        <v>Ethan Perry</v>
      </c>
      <c r="L39" t="str">
        <f ca="1"/>
        <v>Adventure</v>
      </c>
      <c r="M39">
        <f ca="1"/>
        <v>2021</v>
      </c>
      <c r="N39">
        <f ca="1"/>
        <v>510</v>
      </c>
      <c r="O39">
        <f ca="1"/>
        <v>9</v>
      </c>
      <c r="P39">
        <f ca="1"/>
        <v>44971</v>
      </c>
    </row>
    <row r="40" spans="1:16" x14ac:dyDescent="0.3">
      <c r="A40">
        <v>102</v>
      </c>
      <c r="B40" t="s">
        <v>217</v>
      </c>
      <c r="C40" t="s">
        <v>218</v>
      </c>
      <c r="D40" t="s">
        <v>14</v>
      </c>
      <c r="E40">
        <v>2020</v>
      </c>
      <c r="F40">
        <v>320.5</v>
      </c>
      <c r="G40">
        <v>23</v>
      </c>
      <c r="H40" s="6">
        <f t="shared" ca="1" si="1"/>
        <v>45180</v>
      </c>
      <c r="I40">
        <f ca="1"/>
        <v>102</v>
      </c>
      <c r="J40" t="str">
        <f ca="1"/>
        <v>Moonlight Sonata</v>
      </c>
      <c r="K40" t="str">
        <f ca="1"/>
        <v>Charlotte Adams</v>
      </c>
      <c r="L40" t="str">
        <f ca="1"/>
        <v>Romance</v>
      </c>
      <c r="M40">
        <f ca="1"/>
        <v>2020</v>
      </c>
      <c r="N40">
        <f ca="1"/>
        <v>320.5</v>
      </c>
      <c r="O40">
        <f ca="1"/>
        <v>23</v>
      </c>
      <c r="P40">
        <f ca="1"/>
        <v>45180</v>
      </c>
    </row>
    <row r="41" spans="1:16" x14ac:dyDescent="0.3">
      <c r="A41">
        <v>47</v>
      </c>
      <c r="B41" t="s">
        <v>109</v>
      </c>
      <c r="C41" t="s">
        <v>110</v>
      </c>
      <c r="D41" t="s">
        <v>11</v>
      </c>
      <c r="E41">
        <v>2021</v>
      </c>
      <c r="F41">
        <v>680.75</v>
      </c>
      <c r="G41">
        <v>6</v>
      </c>
      <c r="H41" s="6">
        <f t="shared" ca="1" si="1"/>
        <v>45613</v>
      </c>
      <c r="I41">
        <f ca="1"/>
        <v>47</v>
      </c>
      <c r="J41" t="str">
        <f ca="1"/>
        <v>Ocean of Time</v>
      </c>
      <c r="K41" t="str">
        <f ca="1"/>
        <v>Amelia Hill</v>
      </c>
      <c r="L41" t="str">
        <f ca="1"/>
        <v>Science Fiction</v>
      </c>
      <c r="M41">
        <f ca="1"/>
        <v>2021</v>
      </c>
      <c r="N41">
        <f ca="1"/>
        <v>680.75</v>
      </c>
      <c r="O41">
        <f ca="1"/>
        <v>6</v>
      </c>
      <c r="P41">
        <f ca="1"/>
        <v>45613</v>
      </c>
    </row>
    <row r="42" spans="1:16" x14ac:dyDescent="0.3">
      <c r="A42">
        <v>92</v>
      </c>
      <c r="B42" t="s">
        <v>198</v>
      </c>
      <c r="C42" t="s">
        <v>199</v>
      </c>
      <c r="D42" t="s">
        <v>14</v>
      </c>
      <c r="E42">
        <v>2022</v>
      </c>
      <c r="F42">
        <v>310</v>
      </c>
      <c r="G42">
        <v>18</v>
      </c>
      <c r="H42" s="6">
        <f t="shared" ca="1" si="1"/>
        <v>45542</v>
      </c>
      <c r="I42">
        <f ca="1"/>
        <v>92</v>
      </c>
      <c r="J42" t="str">
        <f ca="1"/>
        <v>Ocean’s Whisper</v>
      </c>
      <c r="K42" t="str">
        <f ca="1"/>
        <v>Mia Adams</v>
      </c>
      <c r="L42" t="str">
        <f ca="1"/>
        <v>Romance</v>
      </c>
      <c r="M42">
        <f ca="1"/>
        <v>2022</v>
      </c>
      <c r="N42">
        <f ca="1"/>
        <v>310</v>
      </c>
      <c r="O42">
        <f ca="1"/>
        <v>18</v>
      </c>
      <c r="P42">
        <f ca="1"/>
        <v>45542</v>
      </c>
    </row>
    <row r="43" spans="1:16" x14ac:dyDescent="0.3">
      <c r="A43">
        <v>46</v>
      </c>
      <c r="B43" t="s">
        <v>107</v>
      </c>
      <c r="C43" t="s">
        <v>108</v>
      </c>
      <c r="D43" t="s">
        <v>20</v>
      </c>
      <c r="E43">
        <v>2020</v>
      </c>
      <c r="F43">
        <v>550.29999999999995</v>
      </c>
      <c r="G43">
        <v>10</v>
      </c>
      <c r="H43" s="6">
        <f t="shared" ca="1" si="1"/>
        <v>45786</v>
      </c>
      <c r="I43">
        <f ca="1"/>
        <v>46</v>
      </c>
      <c r="J43" t="str">
        <f ca="1"/>
        <v>Rise of the Fallen</v>
      </c>
      <c r="K43" t="str">
        <f ca="1"/>
        <v>David Morgan</v>
      </c>
      <c r="L43" t="str">
        <f ca="1"/>
        <v>Fantasy</v>
      </c>
      <c r="M43">
        <f ca="1"/>
        <v>2020</v>
      </c>
      <c r="N43">
        <f ca="1"/>
        <v>550.29999999999995</v>
      </c>
      <c r="O43">
        <f ca="1"/>
        <v>10</v>
      </c>
      <c r="P43">
        <f ca="1"/>
        <v>45786</v>
      </c>
    </row>
    <row r="44" spans="1:16" x14ac:dyDescent="0.3">
      <c r="A44">
        <v>70</v>
      </c>
      <c r="B44" t="s">
        <v>155</v>
      </c>
      <c r="C44" t="s">
        <v>156</v>
      </c>
      <c r="D44" t="s">
        <v>11</v>
      </c>
      <c r="E44">
        <v>2020</v>
      </c>
      <c r="F44">
        <v>720</v>
      </c>
      <c r="G44">
        <v>8</v>
      </c>
      <c r="H44" s="6">
        <f t="shared" ca="1" si="1"/>
        <v>45989</v>
      </c>
      <c r="I44">
        <f ca="1"/>
        <v>70</v>
      </c>
      <c r="J44" t="str">
        <f ca="1"/>
        <v>Rise of the Machines</v>
      </c>
      <c r="K44" t="str">
        <f ca="1"/>
        <v>Jacob Perry</v>
      </c>
      <c r="L44" t="str">
        <f ca="1"/>
        <v>Science Fiction</v>
      </c>
      <c r="M44">
        <f ca="1"/>
        <v>2020</v>
      </c>
      <c r="N44">
        <f ca="1"/>
        <v>720</v>
      </c>
      <c r="O44">
        <f ca="1"/>
        <v>8</v>
      </c>
      <c r="P44">
        <f ca="1"/>
        <v>45989</v>
      </c>
    </row>
    <row r="45" spans="1:16" x14ac:dyDescent="0.3">
      <c r="A45">
        <v>35</v>
      </c>
      <c r="B45" t="s">
        <v>85</v>
      </c>
      <c r="C45" t="s">
        <v>86</v>
      </c>
      <c r="D45" t="s">
        <v>14</v>
      </c>
      <c r="E45">
        <v>2017</v>
      </c>
      <c r="F45">
        <v>330.75</v>
      </c>
      <c r="G45">
        <v>19</v>
      </c>
      <c r="H45" s="6">
        <f t="shared" ca="1" si="1"/>
        <v>45203</v>
      </c>
      <c r="I45">
        <f ca="1"/>
        <v>35</v>
      </c>
      <c r="J45" t="str">
        <f ca="1"/>
        <v>River of Dreams</v>
      </c>
      <c r="K45" t="str">
        <f ca="1"/>
        <v>Aiden Morris</v>
      </c>
      <c r="L45" t="str">
        <f ca="1"/>
        <v>Romance</v>
      </c>
      <c r="M45">
        <f ca="1"/>
        <v>2017</v>
      </c>
      <c r="N45">
        <f ca="1"/>
        <v>330.75</v>
      </c>
      <c r="O45">
        <f ca="1"/>
        <v>19</v>
      </c>
      <c r="P45">
        <f ca="1"/>
        <v>45203</v>
      </c>
    </row>
    <row r="46" spans="1:16" x14ac:dyDescent="0.3">
      <c r="A46">
        <v>17</v>
      </c>
      <c r="B46" t="s">
        <v>46</v>
      </c>
      <c r="C46" t="s">
        <v>47</v>
      </c>
      <c r="D46" t="s">
        <v>8</v>
      </c>
      <c r="E46">
        <v>2021</v>
      </c>
      <c r="F46">
        <v>510.45</v>
      </c>
      <c r="G46">
        <v>8</v>
      </c>
      <c r="H46" s="6">
        <f t="shared" ca="1" si="1"/>
        <v>45898</v>
      </c>
      <c r="I46">
        <f ca="1"/>
        <v>17</v>
      </c>
      <c r="J46" t="str">
        <f ca="1"/>
        <v>Secrets of the Labyrinth</v>
      </c>
      <c r="K46" t="str">
        <f ca="1"/>
        <v>Lucas Hill</v>
      </c>
      <c r="L46" t="str">
        <f ca="1"/>
        <v>Mystery</v>
      </c>
      <c r="M46">
        <f ca="1"/>
        <v>2021</v>
      </c>
      <c r="N46">
        <f ca="1"/>
        <v>510.45</v>
      </c>
      <c r="O46">
        <f ca="1"/>
        <v>8</v>
      </c>
      <c r="P46">
        <f ca="1"/>
        <v>45898</v>
      </c>
    </row>
    <row r="47" spans="1:16" x14ac:dyDescent="0.3">
      <c r="A47">
        <v>5</v>
      </c>
      <c r="B47" t="s">
        <v>18</v>
      </c>
      <c r="C47" t="s">
        <v>19</v>
      </c>
      <c r="D47" t="s">
        <v>20</v>
      </c>
      <c r="E47">
        <v>2021</v>
      </c>
      <c r="F47">
        <v>520.75</v>
      </c>
      <c r="G47">
        <v>10</v>
      </c>
      <c r="H47" s="6">
        <f t="shared" ca="1" si="1"/>
        <v>45454</v>
      </c>
      <c r="I47">
        <f ca="1"/>
        <v>5</v>
      </c>
      <c r="J47" t="str">
        <f ca="1"/>
        <v>Shadows of Eternity</v>
      </c>
      <c r="K47" t="str">
        <f ca="1"/>
        <v>Emma Clark</v>
      </c>
      <c r="L47" t="str">
        <f ca="1"/>
        <v>Fantasy</v>
      </c>
      <c r="M47">
        <f ca="1"/>
        <v>2021</v>
      </c>
      <c r="N47">
        <f ca="1"/>
        <v>520.75</v>
      </c>
      <c r="O47">
        <f ca="1"/>
        <v>10</v>
      </c>
      <c r="P47">
        <f ca="1"/>
        <v>45454</v>
      </c>
    </row>
    <row r="48" spans="1:16" x14ac:dyDescent="0.3">
      <c r="A48">
        <v>97</v>
      </c>
      <c r="B48" t="s">
        <v>207</v>
      </c>
      <c r="C48" t="s">
        <v>208</v>
      </c>
      <c r="D48" t="s">
        <v>20</v>
      </c>
      <c r="E48">
        <v>2021</v>
      </c>
      <c r="F48">
        <v>620</v>
      </c>
      <c r="G48">
        <v>7</v>
      </c>
      <c r="H48" s="6">
        <f t="shared" ca="1" si="1"/>
        <v>46007</v>
      </c>
      <c r="I48">
        <f ca="1"/>
        <v>97</v>
      </c>
      <c r="J48" t="str">
        <f ca="1"/>
        <v>Shadows Over Avalon</v>
      </c>
      <c r="K48" t="str">
        <f ca="1"/>
        <v>Benjamin Hill</v>
      </c>
      <c r="L48" t="str">
        <f ca="1"/>
        <v>Fantasy</v>
      </c>
      <c r="M48">
        <f ca="1"/>
        <v>2021</v>
      </c>
      <c r="N48">
        <f ca="1"/>
        <v>620</v>
      </c>
      <c r="O48">
        <f ca="1"/>
        <v>7</v>
      </c>
      <c r="P48">
        <f ca="1"/>
        <v>46007</v>
      </c>
    </row>
    <row r="49" spans="1:16" x14ac:dyDescent="0.3">
      <c r="A49">
        <v>28</v>
      </c>
      <c r="B49" t="s">
        <v>69</v>
      </c>
      <c r="C49" t="s">
        <v>70</v>
      </c>
      <c r="D49" t="s">
        <v>71</v>
      </c>
      <c r="E49">
        <v>2020</v>
      </c>
      <c r="F49">
        <v>420</v>
      </c>
      <c r="G49">
        <v>15</v>
      </c>
      <c r="H49" s="6">
        <f t="shared" ca="1" si="1"/>
        <v>45191</v>
      </c>
      <c r="I49">
        <f ca="1"/>
        <v>28</v>
      </c>
      <c r="J49" t="str">
        <f ca="1"/>
        <v>Shattered Reflections</v>
      </c>
      <c r="K49" t="str">
        <f ca="1"/>
        <v>Abigail Gray</v>
      </c>
      <c r="L49" t="str">
        <f ca="1"/>
        <v>Psychological Fiction</v>
      </c>
      <c r="M49">
        <f ca="1"/>
        <v>2020</v>
      </c>
      <c r="N49">
        <f ca="1"/>
        <v>420</v>
      </c>
      <c r="O49">
        <f ca="1"/>
        <v>15</v>
      </c>
      <c r="P49">
        <f ca="1"/>
        <v>45191</v>
      </c>
    </row>
    <row r="50" spans="1:16" x14ac:dyDescent="0.3">
      <c r="A50">
        <v>66</v>
      </c>
      <c r="B50" t="s">
        <v>147</v>
      </c>
      <c r="C50" t="s">
        <v>148</v>
      </c>
      <c r="D50" t="s">
        <v>11</v>
      </c>
      <c r="E50">
        <v>2019</v>
      </c>
      <c r="F50">
        <v>670.1</v>
      </c>
      <c r="G50">
        <v>6</v>
      </c>
      <c r="H50" s="6">
        <f t="shared" ca="1" si="1"/>
        <v>45096</v>
      </c>
      <c r="I50">
        <f ca="1"/>
        <v>66</v>
      </c>
      <c r="J50" t="str">
        <f ca="1"/>
        <v>Shattered Skies</v>
      </c>
      <c r="K50" t="str">
        <f ca="1"/>
        <v>Benjamin Lewis</v>
      </c>
      <c r="L50" t="str">
        <f ca="1"/>
        <v>Science Fiction</v>
      </c>
      <c r="M50">
        <f ca="1"/>
        <v>2019</v>
      </c>
      <c r="N50">
        <f ca="1"/>
        <v>670.1</v>
      </c>
      <c r="O50">
        <f ca="1"/>
        <v>6</v>
      </c>
      <c r="P50">
        <f ca="1"/>
        <v>45096</v>
      </c>
    </row>
    <row r="51" spans="1:16" x14ac:dyDescent="0.3">
      <c r="A51">
        <v>36</v>
      </c>
      <c r="B51" t="s">
        <v>87</v>
      </c>
      <c r="C51" t="s">
        <v>88</v>
      </c>
      <c r="D51" t="s">
        <v>20</v>
      </c>
      <c r="E51">
        <v>2018</v>
      </c>
      <c r="F51">
        <v>470.1</v>
      </c>
      <c r="G51">
        <v>14</v>
      </c>
      <c r="H51" s="6">
        <f t="shared" ca="1" si="1"/>
        <v>45534</v>
      </c>
      <c r="I51">
        <f ca="1"/>
        <v>36</v>
      </c>
      <c r="J51" t="str">
        <f ca="1"/>
        <v>The Broken Spell</v>
      </c>
      <c r="K51" t="str">
        <f ca="1"/>
        <v>Sofia Jenkins</v>
      </c>
      <c r="L51" t="str">
        <f ca="1"/>
        <v>Fantasy</v>
      </c>
      <c r="M51">
        <f ca="1"/>
        <v>2018</v>
      </c>
      <c r="N51">
        <f ca="1"/>
        <v>470.1</v>
      </c>
      <c r="O51">
        <f ca="1"/>
        <v>14</v>
      </c>
      <c r="P51">
        <f ca="1"/>
        <v>45534</v>
      </c>
    </row>
    <row r="52" spans="1:16" x14ac:dyDescent="0.3">
      <c r="A52">
        <v>77</v>
      </c>
      <c r="B52" t="s">
        <v>169</v>
      </c>
      <c r="C52" t="s">
        <v>170</v>
      </c>
      <c r="D52" t="s">
        <v>31</v>
      </c>
      <c r="E52">
        <v>2018</v>
      </c>
      <c r="F52">
        <v>480.5</v>
      </c>
      <c r="G52">
        <v>16</v>
      </c>
      <c r="H52" s="6">
        <f t="shared" ca="1" si="1"/>
        <v>45531</v>
      </c>
      <c r="I52">
        <f ca="1"/>
        <v>77</v>
      </c>
      <c r="J52" t="str">
        <f ca="1"/>
        <v>The Burning Sky</v>
      </c>
      <c r="K52" t="str">
        <f ca="1"/>
        <v>Mason Ross</v>
      </c>
      <c r="L52" t="str">
        <f ca="1"/>
        <v>Adventure</v>
      </c>
      <c r="M52">
        <f ca="1"/>
        <v>2018</v>
      </c>
      <c r="N52">
        <f ca="1"/>
        <v>480.5</v>
      </c>
      <c r="O52">
        <f ca="1"/>
        <v>16</v>
      </c>
      <c r="P52">
        <f ca="1"/>
        <v>45531</v>
      </c>
    </row>
    <row r="53" spans="1:16" x14ac:dyDescent="0.3">
      <c r="A53">
        <v>80</v>
      </c>
      <c r="B53" t="s">
        <v>174</v>
      </c>
      <c r="C53" t="s">
        <v>175</v>
      </c>
      <c r="D53" t="s">
        <v>176</v>
      </c>
      <c r="E53">
        <v>2021</v>
      </c>
      <c r="F53">
        <v>610</v>
      </c>
      <c r="G53">
        <v>8</v>
      </c>
      <c r="H53" s="6">
        <f t="shared" ca="1" si="1"/>
        <v>45268</v>
      </c>
      <c r="I53">
        <f ca="1"/>
        <v>80</v>
      </c>
      <c r="J53" t="str">
        <f ca="1"/>
        <v>The Clockwork Heart</v>
      </c>
      <c r="K53" t="str">
        <f ca="1"/>
        <v>Amelia Adams</v>
      </c>
      <c r="L53" t="str">
        <f ca="1"/>
        <v>Steampunk</v>
      </c>
      <c r="M53">
        <f ca="1"/>
        <v>2021</v>
      </c>
      <c r="N53">
        <f ca="1"/>
        <v>610</v>
      </c>
      <c r="O53">
        <f ca="1"/>
        <v>8</v>
      </c>
      <c r="P53">
        <f ca="1"/>
        <v>45268</v>
      </c>
    </row>
    <row r="54" spans="1:16" x14ac:dyDescent="0.3">
      <c r="A54">
        <v>99</v>
      </c>
      <c r="B54" t="s">
        <v>211</v>
      </c>
      <c r="C54" t="s">
        <v>212</v>
      </c>
      <c r="D54" t="s">
        <v>20</v>
      </c>
      <c r="E54">
        <v>2020</v>
      </c>
      <c r="F54">
        <v>540</v>
      </c>
      <c r="G54">
        <v>9</v>
      </c>
      <c r="H54" s="6">
        <f t="shared" ca="1" si="1"/>
        <v>45624</v>
      </c>
      <c r="I54">
        <f ca="1"/>
        <v>99</v>
      </c>
      <c r="J54" t="str">
        <f ca="1"/>
        <v>The Crimson Queen</v>
      </c>
      <c r="K54" t="str">
        <f ca="1"/>
        <v>Grace Evans</v>
      </c>
      <c r="L54" t="str">
        <f ca="1"/>
        <v>Fantasy</v>
      </c>
      <c r="M54">
        <f ca="1"/>
        <v>2020</v>
      </c>
      <c r="N54">
        <f ca="1"/>
        <v>540</v>
      </c>
      <c r="O54">
        <f ca="1"/>
        <v>9</v>
      </c>
      <c r="P54">
        <f ca="1"/>
        <v>45624</v>
      </c>
    </row>
    <row r="55" spans="1:16" x14ac:dyDescent="0.3">
      <c r="A55">
        <v>74</v>
      </c>
      <c r="B55" t="s">
        <v>163</v>
      </c>
      <c r="C55" t="s">
        <v>164</v>
      </c>
      <c r="D55" t="s">
        <v>20</v>
      </c>
      <c r="E55">
        <v>2019</v>
      </c>
      <c r="F55">
        <v>490.1</v>
      </c>
      <c r="G55">
        <v>13</v>
      </c>
      <c r="H55" s="6">
        <f t="shared" ca="1" si="1"/>
        <v>45076</v>
      </c>
      <c r="I55">
        <f ca="1"/>
        <v>74</v>
      </c>
      <c r="J55" t="str">
        <f ca="1"/>
        <v>The Crystal Kingdom</v>
      </c>
      <c r="K55" t="str">
        <f ca="1"/>
        <v>Liam Cooper</v>
      </c>
      <c r="L55" t="str">
        <f ca="1"/>
        <v>Fantasy</v>
      </c>
      <c r="M55">
        <f ca="1"/>
        <v>2019</v>
      </c>
      <c r="N55">
        <f ca="1"/>
        <v>490.1</v>
      </c>
      <c r="O55">
        <f ca="1"/>
        <v>13</v>
      </c>
      <c r="P55">
        <f ca="1"/>
        <v>45076</v>
      </c>
    </row>
    <row r="56" spans="1:16" x14ac:dyDescent="0.3">
      <c r="A56">
        <v>98</v>
      </c>
      <c r="B56" t="s">
        <v>209</v>
      </c>
      <c r="C56" t="s">
        <v>210</v>
      </c>
      <c r="D56" t="s">
        <v>11</v>
      </c>
      <c r="E56">
        <v>2022</v>
      </c>
      <c r="F56">
        <v>700.25</v>
      </c>
      <c r="G56">
        <v>8</v>
      </c>
      <c r="H56" s="6">
        <f t="shared" ca="1" si="1"/>
        <v>45617</v>
      </c>
      <c r="I56">
        <f ca="1"/>
        <v>98</v>
      </c>
      <c r="J56" t="str">
        <f ca="1"/>
        <v>The Dark Sun</v>
      </c>
      <c r="K56" t="str">
        <f ca="1"/>
        <v>Aiden Lewis</v>
      </c>
      <c r="L56" t="str">
        <f ca="1"/>
        <v>Science Fiction</v>
      </c>
      <c r="M56">
        <f ca="1"/>
        <v>2022</v>
      </c>
      <c r="N56">
        <f ca="1"/>
        <v>700.25</v>
      </c>
      <c r="O56">
        <f ca="1"/>
        <v>8</v>
      </c>
      <c r="P56">
        <f ca="1"/>
        <v>45617</v>
      </c>
    </row>
    <row r="57" spans="1:16" x14ac:dyDescent="0.3">
      <c r="A57">
        <v>89</v>
      </c>
      <c r="B57" t="s">
        <v>193</v>
      </c>
      <c r="C57" t="s">
        <v>45</v>
      </c>
      <c r="D57" t="s">
        <v>26</v>
      </c>
      <c r="E57">
        <v>2021</v>
      </c>
      <c r="F57">
        <v>610.4</v>
      </c>
      <c r="G57">
        <v>10</v>
      </c>
      <c r="H57" s="6">
        <f t="shared" ca="1" si="1"/>
        <v>44992</v>
      </c>
      <c r="I57">
        <f ca="1"/>
        <v>89</v>
      </c>
      <c r="J57" t="str">
        <f ca="1"/>
        <v>The Darkened Path</v>
      </c>
      <c r="K57" t="str">
        <f ca="1"/>
        <v>Ella Mitchell</v>
      </c>
      <c r="L57" t="str">
        <f ca="1"/>
        <v>Thriller</v>
      </c>
      <c r="M57">
        <f ca="1"/>
        <v>2021</v>
      </c>
      <c r="N57">
        <f ca="1"/>
        <v>610.4</v>
      </c>
      <c r="O57">
        <f ca="1"/>
        <v>10</v>
      </c>
      <c r="P57">
        <f ca="1"/>
        <v>44992</v>
      </c>
    </row>
    <row r="58" spans="1:16" x14ac:dyDescent="0.3">
      <c r="A58">
        <v>50</v>
      </c>
      <c r="B58" t="s">
        <v>115</v>
      </c>
      <c r="C58" t="s">
        <v>116</v>
      </c>
      <c r="D58" t="s">
        <v>26</v>
      </c>
      <c r="E58">
        <v>2022</v>
      </c>
      <c r="F58">
        <v>610.5</v>
      </c>
      <c r="G58">
        <v>7</v>
      </c>
      <c r="H58" s="6">
        <f t="shared" ca="1" si="1"/>
        <v>45837</v>
      </c>
      <c r="I58">
        <f ca="1"/>
        <v>50</v>
      </c>
      <c r="J58" t="str">
        <f ca="1"/>
        <v>The Edge of Shadows</v>
      </c>
      <c r="K58" t="str">
        <f ca="1"/>
        <v>Mila Ross</v>
      </c>
      <c r="L58" t="str">
        <f ca="1"/>
        <v>Thriller</v>
      </c>
      <c r="M58">
        <f ca="1"/>
        <v>2022</v>
      </c>
      <c r="N58">
        <f ca="1"/>
        <v>610.5</v>
      </c>
      <c r="O58">
        <f ca="1"/>
        <v>7</v>
      </c>
      <c r="P58">
        <f ca="1"/>
        <v>45837</v>
      </c>
    </row>
    <row r="59" spans="1:16" x14ac:dyDescent="0.3">
      <c r="A59">
        <v>67</v>
      </c>
      <c r="B59" t="s">
        <v>149</v>
      </c>
      <c r="C59" t="s">
        <v>150</v>
      </c>
      <c r="D59" t="s">
        <v>20</v>
      </c>
      <c r="E59">
        <v>2017</v>
      </c>
      <c r="F59">
        <v>450.9</v>
      </c>
      <c r="G59">
        <v>18</v>
      </c>
      <c r="H59" s="6">
        <f t="shared" ca="1" si="1"/>
        <v>45429</v>
      </c>
      <c r="I59">
        <f ca="1"/>
        <v>67</v>
      </c>
      <c r="J59" t="str">
        <f ca="1"/>
        <v>The Emerald Flame</v>
      </c>
      <c r="K59" t="str">
        <f ca="1"/>
        <v>Isabella Turner</v>
      </c>
      <c r="L59" t="str">
        <f ca="1"/>
        <v>Fantasy</v>
      </c>
      <c r="M59">
        <f ca="1"/>
        <v>2017</v>
      </c>
      <c r="N59">
        <f ca="1"/>
        <v>450.9</v>
      </c>
      <c r="O59">
        <f ca="1"/>
        <v>18</v>
      </c>
      <c r="P59">
        <f ca="1"/>
        <v>45429</v>
      </c>
    </row>
    <row r="60" spans="1:16" x14ac:dyDescent="0.3">
      <c r="A60">
        <v>83</v>
      </c>
      <c r="B60" t="s">
        <v>181</v>
      </c>
      <c r="C60" t="s">
        <v>182</v>
      </c>
      <c r="D60" t="s">
        <v>20</v>
      </c>
      <c r="E60">
        <v>2020</v>
      </c>
      <c r="F60">
        <v>520.1</v>
      </c>
      <c r="G60">
        <v>9</v>
      </c>
      <c r="H60" s="6">
        <f t="shared" ca="1" si="1"/>
        <v>44997</v>
      </c>
      <c r="I60">
        <f ca="1"/>
        <v>83</v>
      </c>
      <c r="J60" t="str">
        <f ca="1"/>
        <v>The Eternal Flame</v>
      </c>
      <c r="K60" t="str">
        <f ca="1"/>
        <v>Olivia Moore</v>
      </c>
      <c r="L60" t="str">
        <f ca="1"/>
        <v>Fantasy</v>
      </c>
      <c r="M60">
        <f ca="1"/>
        <v>2020</v>
      </c>
      <c r="N60">
        <f ca="1"/>
        <v>520.1</v>
      </c>
      <c r="O60">
        <f ca="1"/>
        <v>9</v>
      </c>
      <c r="P60">
        <f ca="1"/>
        <v>44997</v>
      </c>
    </row>
    <row r="61" spans="1:16" x14ac:dyDescent="0.3">
      <c r="A61">
        <v>101</v>
      </c>
      <c r="B61" t="s">
        <v>215</v>
      </c>
      <c r="C61" t="s">
        <v>216</v>
      </c>
      <c r="D61" t="s">
        <v>11</v>
      </c>
      <c r="E61">
        <v>2019</v>
      </c>
      <c r="F61">
        <v>680</v>
      </c>
      <c r="G61">
        <v>7</v>
      </c>
      <c r="H61" s="6">
        <f t="shared" ca="1" si="1"/>
        <v>45614</v>
      </c>
      <c r="I61">
        <f ca="1"/>
        <v>101</v>
      </c>
      <c r="J61" t="str">
        <f ca="1"/>
        <v>The Final Dawn</v>
      </c>
      <c r="K61" t="str">
        <f ca="1"/>
        <v>Olivia Scott</v>
      </c>
      <c r="L61" t="str">
        <f ca="1"/>
        <v>Science Fiction</v>
      </c>
      <c r="M61">
        <f ca="1"/>
        <v>2019</v>
      </c>
      <c r="N61">
        <f ca="1"/>
        <v>680</v>
      </c>
      <c r="O61">
        <f ca="1"/>
        <v>7</v>
      </c>
      <c r="P61">
        <f ca="1"/>
        <v>45614</v>
      </c>
    </row>
    <row r="62" spans="1:16" x14ac:dyDescent="0.3">
      <c r="A62">
        <v>71</v>
      </c>
      <c r="B62" t="s">
        <v>157</v>
      </c>
      <c r="C62" t="s">
        <v>158</v>
      </c>
      <c r="D62" t="s">
        <v>31</v>
      </c>
      <c r="E62">
        <v>2022</v>
      </c>
      <c r="F62">
        <v>510.4</v>
      </c>
      <c r="G62">
        <v>9</v>
      </c>
      <c r="H62" s="6">
        <f t="shared" ca="1" si="1"/>
        <v>45276</v>
      </c>
      <c r="I62">
        <f ca="1"/>
        <v>71</v>
      </c>
      <c r="J62" t="str">
        <f ca="1"/>
        <v>The Forgotten Path</v>
      </c>
      <c r="K62" t="str">
        <f ca="1"/>
        <v>Ava Gray</v>
      </c>
      <c r="L62" t="str">
        <f ca="1"/>
        <v>Adventure</v>
      </c>
      <c r="M62">
        <f ca="1"/>
        <v>2022</v>
      </c>
      <c r="N62">
        <f ca="1"/>
        <v>510.4</v>
      </c>
      <c r="O62">
        <f ca="1"/>
        <v>9</v>
      </c>
      <c r="P62">
        <f ca="1"/>
        <v>45276</v>
      </c>
    </row>
    <row r="63" spans="1:16" x14ac:dyDescent="0.3">
      <c r="A63">
        <v>9</v>
      </c>
      <c r="B63" t="s">
        <v>29</v>
      </c>
      <c r="C63" t="s">
        <v>30</v>
      </c>
      <c r="D63" t="s">
        <v>31</v>
      </c>
      <c r="E63">
        <v>2019</v>
      </c>
      <c r="F63">
        <v>540</v>
      </c>
      <c r="G63">
        <v>15</v>
      </c>
      <c r="H63" s="6">
        <f t="shared" ca="1" si="1"/>
        <v>45119</v>
      </c>
      <c r="I63">
        <f ca="1"/>
        <v>9</v>
      </c>
      <c r="J63" t="str">
        <f ca="1"/>
        <v>The Forgotten Realm</v>
      </c>
      <c r="K63" t="str">
        <f ca="1"/>
        <v>Mason Adams</v>
      </c>
      <c r="L63" t="str">
        <f ca="1"/>
        <v>Adventure</v>
      </c>
      <c r="M63">
        <f ca="1"/>
        <v>2019</v>
      </c>
      <c r="N63">
        <f ca="1"/>
        <v>540</v>
      </c>
      <c r="O63">
        <f ca="1"/>
        <v>15</v>
      </c>
      <c r="P63">
        <f ca="1"/>
        <v>45119</v>
      </c>
    </row>
    <row r="64" spans="1:16" x14ac:dyDescent="0.3">
      <c r="A64">
        <v>104</v>
      </c>
      <c r="B64" t="s">
        <v>221</v>
      </c>
      <c r="C64" t="s">
        <v>150</v>
      </c>
      <c r="D64" t="s">
        <v>20</v>
      </c>
      <c r="E64">
        <v>2022</v>
      </c>
      <c r="F64">
        <v>590.9</v>
      </c>
      <c r="G64">
        <v>8</v>
      </c>
      <c r="H64" s="6">
        <f t="shared" ca="1" si="1"/>
        <v>45403</v>
      </c>
      <c r="I64">
        <f ca="1"/>
        <v>104</v>
      </c>
      <c r="J64" t="str">
        <f ca="1"/>
        <v>The Glass Kingdom</v>
      </c>
      <c r="K64" t="str">
        <f ca="1"/>
        <v>Isabella Turner</v>
      </c>
      <c r="L64" t="str">
        <f ca="1"/>
        <v>Fantasy</v>
      </c>
      <c r="M64">
        <f ca="1"/>
        <v>2022</v>
      </c>
      <c r="N64">
        <f ca="1"/>
        <v>590.9</v>
      </c>
      <c r="O64">
        <f ca="1"/>
        <v>8</v>
      </c>
      <c r="P64">
        <f ca="1"/>
        <v>45403</v>
      </c>
    </row>
    <row r="65" spans="1:16" x14ac:dyDescent="0.3">
      <c r="A65">
        <v>44</v>
      </c>
      <c r="B65" t="s">
        <v>103</v>
      </c>
      <c r="C65" t="s">
        <v>104</v>
      </c>
      <c r="D65" t="s">
        <v>26</v>
      </c>
      <c r="E65">
        <v>2017</v>
      </c>
      <c r="F65">
        <v>360.9</v>
      </c>
      <c r="G65">
        <v>17</v>
      </c>
      <c r="H65" s="6">
        <f t="shared" ca="1" si="1"/>
        <v>45255</v>
      </c>
      <c r="I65">
        <f ca="1"/>
        <v>44</v>
      </c>
      <c r="J65" t="str">
        <f ca="1"/>
        <v>The Glass Tower</v>
      </c>
      <c r="K65" t="str">
        <f ca="1"/>
        <v>Avery Kelly</v>
      </c>
      <c r="L65" t="str">
        <f ca="1"/>
        <v>Thriller</v>
      </c>
      <c r="M65">
        <f ca="1"/>
        <v>2017</v>
      </c>
      <c r="N65">
        <f ca="1"/>
        <v>360.9</v>
      </c>
      <c r="O65">
        <f ca="1"/>
        <v>17</v>
      </c>
      <c r="P65">
        <f ca="1"/>
        <v>45255</v>
      </c>
    </row>
    <row r="66" spans="1:16" x14ac:dyDescent="0.3">
      <c r="A66">
        <v>26</v>
      </c>
      <c r="B66" t="s">
        <v>65</v>
      </c>
      <c r="C66" t="s">
        <v>66</v>
      </c>
      <c r="D66" t="s">
        <v>20</v>
      </c>
      <c r="E66">
        <v>2019</v>
      </c>
      <c r="F66">
        <v>490.25</v>
      </c>
      <c r="G66">
        <v>10</v>
      </c>
      <c r="H66" s="6">
        <f t="shared" ref="H66:H97" ca="1" si="2">RANDBETWEEN(DATE(2023,1,1), DATE(2025,12,31))</f>
        <v>45595</v>
      </c>
      <c r="I66">
        <f ca="1"/>
        <v>26</v>
      </c>
      <c r="J66" t="str">
        <f ca="1"/>
        <v>The Golden Compass</v>
      </c>
      <c r="K66" t="str">
        <f ca="1"/>
        <v>Ella Foster</v>
      </c>
      <c r="L66" t="str">
        <f ca="1"/>
        <v>Fantasy</v>
      </c>
      <c r="M66">
        <f ca="1"/>
        <v>2019</v>
      </c>
      <c r="N66">
        <f ca="1"/>
        <v>490.25</v>
      </c>
      <c r="O66">
        <f ca="1"/>
        <v>10</v>
      </c>
      <c r="P66">
        <f ca="1"/>
        <v>45595</v>
      </c>
    </row>
    <row r="67" spans="1:16" x14ac:dyDescent="0.3">
      <c r="A67">
        <v>38</v>
      </c>
      <c r="B67" t="s">
        <v>91</v>
      </c>
      <c r="C67" t="s">
        <v>92</v>
      </c>
      <c r="D67" t="s">
        <v>54</v>
      </c>
      <c r="E67">
        <v>2016</v>
      </c>
      <c r="F67">
        <v>400</v>
      </c>
      <c r="G67">
        <v>8</v>
      </c>
      <c r="H67" s="6">
        <f t="shared" ca="1" si="2"/>
        <v>45336</v>
      </c>
      <c r="I67">
        <f ca="1"/>
        <v>38</v>
      </c>
      <c r="J67" t="str">
        <f ca="1"/>
        <v>The Haunting of Willow Lake</v>
      </c>
      <c r="K67" t="str">
        <f ca="1"/>
        <v>Layla Rogers</v>
      </c>
      <c r="L67" t="str">
        <f ca="1"/>
        <v>Horror</v>
      </c>
      <c r="M67">
        <f ca="1"/>
        <v>2016</v>
      </c>
      <c r="N67">
        <f ca="1"/>
        <v>400</v>
      </c>
      <c r="O67">
        <f ca="1"/>
        <v>8</v>
      </c>
      <c r="P67">
        <f ca="1"/>
        <v>45336</v>
      </c>
    </row>
    <row r="68" spans="1:16" x14ac:dyDescent="0.3">
      <c r="A68">
        <v>57</v>
      </c>
      <c r="B68" t="s">
        <v>129</v>
      </c>
      <c r="C68" t="s">
        <v>130</v>
      </c>
      <c r="D68" t="s">
        <v>31</v>
      </c>
      <c r="E68">
        <v>2017</v>
      </c>
      <c r="F68">
        <v>470.6</v>
      </c>
      <c r="G68">
        <v>18</v>
      </c>
      <c r="H68" s="6">
        <f t="shared" ca="1" si="2"/>
        <v>45918</v>
      </c>
      <c r="I68">
        <f ca="1"/>
        <v>57</v>
      </c>
      <c r="J68" t="str">
        <f ca="1"/>
        <v>The Hidden Fortress</v>
      </c>
      <c r="K68" t="str">
        <f ca="1"/>
        <v>Mason Bennett</v>
      </c>
      <c r="L68" t="str">
        <f ca="1"/>
        <v>Adventure</v>
      </c>
      <c r="M68">
        <f ca="1"/>
        <v>2017</v>
      </c>
      <c r="N68">
        <f ca="1"/>
        <v>470.6</v>
      </c>
      <c r="O68">
        <f ca="1"/>
        <v>18</v>
      </c>
      <c r="P68">
        <f ca="1"/>
        <v>45918</v>
      </c>
    </row>
    <row r="69" spans="1:16" x14ac:dyDescent="0.3">
      <c r="A69">
        <v>76</v>
      </c>
      <c r="B69" t="s">
        <v>167</v>
      </c>
      <c r="C69" t="s">
        <v>168</v>
      </c>
      <c r="D69" t="s">
        <v>8</v>
      </c>
      <c r="E69">
        <v>2020</v>
      </c>
      <c r="F69">
        <v>420</v>
      </c>
      <c r="G69">
        <v>11</v>
      </c>
      <c r="H69" s="6">
        <f t="shared" ca="1" si="2"/>
        <v>44955</v>
      </c>
      <c r="I69">
        <f ca="1"/>
        <v>76</v>
      </c>
      <c r="J69" t="str">
        <f ca="1"/>
        <v>The Hidden Truth</v>
      </c>
      <c r="K69" t="str">
        <f ca="1"/>
        <v>Lucas Allen</v>
      </c>
      <c r="L69" t="str">
        <f ca="1"/>
        <v>Mystery</v>
      </c>
      <c r="M69">
        <f ca="1"/>
        <v>2020</v>
      </c>
      <c r="N69">
        <f ca="1"/>
        <v>420</v>
      </c>
      <c r="O69">
        <f ca="1"/>
        <v>11</v>
      </c>
      <c r="P69">
        <f ca="1"/>
        <v>44955</v>
      </c>
    </row>
    <row r="70" spans="1:16" x14ac:dyDescent="0.3">
      <c r="A70">
        <v>72</v>
      </c>
      <c r="B70" t="s">
        <v>159</v>
      </c>
      <c r="C70" t="s">
        <v>160</v>
      </c>
      <c r="D70" t="s">
        <v>17</v>
      </c>
      <c r="E70">
        <v>2016</v>
      </c>
      <c r="F70">
        <v>460.25</v>
      </c>
      <c r="G70">
        <v>15</v>
      </c>
      <c r="H70" s="6">
        <f t="shared" ca="1" si="2"/>
        <v>45296</v>
      </c>
      <c r="I70">
        <f ca="1"/>
        <v>72</v>
      </c>
      <c r="J70" t="str">
        <f ca="1"/>
        <v>The Hollow Crown</v>
      </c>
      <c r="K70" t="str">
        <f ca="1"/>
        <v>Henry Bennett</v>
      </c>
      <c r="L70" t="str">
        <f ca="1"/>
        <v>Historical Fiction</v>
      </c>
      <c r="M70">
        <f ca="1"/>
        <v>2016</v>
      </c>
      <c r="N70">
        <f ca="1"/>
        <v>460.25</v>
      </c>
      <c r="O70">
        <f ca="1"/>
        <v>15</v>
      </c>
      <c r="P70">
        <f ca="1"/>
        <v>45296</v>
      </c>
    </row>
    <row r="71" spans="1:16" x14ac:dyDescent="0.3">
      <c r="A71">
        <v>39</v>
      </c>
      <c r="B71" t="s">
        <v>93</v>
      </c>
      <c r="C71" t="s">
        <v>94</v>
      </c>
      <c r="D71" t="s">
        <v>11</v>
      </c>
      <c r="E71">
        <v>2020</v>
      </c>
      <c r="F71">
        <v>640</v>
      </c>
      <c r="G71">
        <v>7</v>
      </c>
      <c r="H71" s="6">
        <f t="shared" ca="1" si="2"/>
        <v>44983</v>
      </c>
      <c r="I71">
        <f ca="1"/>
        <v>39</v>
      </c>
      <c r="J71" t="str">
        <f ca="1"/>
        <v>The Infinite Circle</v>
      </c>
      <c r="K71" t="str">
        <f ca="1"/>
        <v>Ethan Howard</v>
      </c>
      <c r="L71" t="str">
        <f ca="1"/>
        <v>Science Fiction</v>
      </c>
      <c r="M71">
        <f ca="1"/>
        <v>2020</v>
      </c>
      <c r="N71">
        <f ca="1"/>
        <v>640</v>
      </c>
      <c r="O71">
        <f ca="1"/>
        <v>7</v>
      </c>
      <c r="P71">
        <f ca="1"/>
        <v>44983</v>
      </c>
    </row>
    <row r="72" spans="1:16" x14ac:dyDescent="0.3">
      <c r="A72">
        <v>7</v>
      </c>
      <c r="B72" t="s">
        <v>24</v>
      </c>
      <c r="C72" t="s">
        <v>25</v>
      </c>
      <c r="D72" t="s">
        <v>26</v>
      </c>
      <c r="E72">
        <v>2022</v>
      </c>
      <c r="F72">
        <v>610</v>
      </c>
      <c r="G72">
        <v>7</v>
      </c>
      <c r="H72" s="6">
        <f t="shared" ca="1" si="2"/>
        <v>44994</v>
      </c>
      <c r="I72">
        <f ca="1"/>
        <v>7</v>
      </c>
      <c r="J72" t="str">
        <f ca="1"/>
        <v>The Iron Code</v>
      </c>
      <c r="K72" t="str">
        <f ca="1"/>
        <v>Olivia Cooper</v>
      </c>
      <c r="L72" t="str">
        <f ca="1"/>
        <v>Thriller</v>
      </c>
      <c r="M72">
        <f ca="1"/>
        <v>2022</v>
      </c>
      <c r="N72">
        <f ca="1"/>
        <v>610</v>
      </c>
      <c r="O72">
        <f ca="1"/>
        <v>7</v>
      </c>
      <c r="P72">
        <f ca="1"/>
        <v>44994</v>
      </c>
    </row>
    <row r="73" spans="1:16" x14ac:dyDescent="0.3">
      <c r="A73">
        <v>95</v>
      </c>
      <c r="B73" t="s">
        <v>204</v>
      </c>
      <c r="C73" t="s">
        <v>16</v>
      </c>
      <c r="D73" t="s">
        <v>17</v>
      </c>
      <c r="E73">
        <v>2018</v>
      </c>
      <c r="F73">
        <v>480.25</v>
      </c>
      <c r="G73">
        <v>9</v>
      </c>
      <c r="H73" s="6">
        <f t="shared" ca="1" si="2"/>
        <v>45187</v>
      </c>
      <c r="I73">
        <f ca="1"/>
        <v>95</v>
      </c>
      <c r="J73" t="str">
        <f ca="1"/>
        <v>The Iron Throne</v>
      </c>
      <c r="K73" t="str">
        <f ca="1"/>
        <v>Noah Brooks</v>
      </c>
      <c r="L73" t="str">
        <f ca="1"/>
        <v>Historical Fiction</v>
      </c>
      <c r="M73">
        <f ca="1"/>
        <v>2018</v>
      </c>
      <c r="N73">
        <f ca="1"/>
        <v>480.25</v>
      </c>
      <c r="O73">
        <f ca="1"/>
        <v>9</v>
      </c>
      <c r="P73">
        <f ca="1"/>
        <v>45187</v>
      </c>
    </row>
    <row r="74" spans="1:16" x14ac:dyDescent="0.3">
      <c r="A74">
        <v>60</v>
      </c>
      <c r="B74" t="s">
        <v>135</v>
      </c>
      <c r="C74" t="s">
        <v>136</v>
      </c>
      <c r="D74" t="s">
        <v>31</v>
      </c>
      <c r="E74">
        <v>2019</v>
      </c>
      <c r="F74">
        <v>500.3</v>
      </c>
      <c r="G74">
        <v>14</v>
      </c>
      <c r="H74" s="6">
        <f t="shared" ca="1" si="2"/>
        <v>45344</v>
      </c>
      <c r="I74">
        <f ca="1"/>
        <v>60</v>
      </c>
      <c r="J74" t="str">
        <f ca="1"/>
        <v>The Last Odyssey</v>
      </c>
      <c r="K74" t="str">
        <f ca="1"/>
        <v>Olivia Gray</v>
      </c>
      <c r="L74" t="str">
        <f ca="1"/>
        <v>Adventure</v>
      </c>
      <c r="M74">
        <f ca="1"/>
        <v>2019</v>
      </c>
      <c r="N74">
        <f ca="1"/>
        <v>500.3</v>
      </c>
      <c r="O74">
        <f ca="1"/>
        <v>14</v>
      </c>
      <c r="P74">
        <f ca="1"/>
        <v>45344</v>
      </c>
    </row>
    <row r="75" spans="1:16" x14ac:dyDescent="0.3">
      <c r="A75">
        <v>31</v>
      </c>
      <c r="B75" t="s">
        <v>77</v>
      </c>
      <c r="C75" t="s">
        <v>78</v>
      </c>
      <c r="D75" t="s">
        <v>31</v>
      </c>
      <c r="E75">
        <v>2018</v>
      </c>
      <c r="F75">
        <v>480.6</v>
      </c>
      <c r="G75">
        <v>17</v>
      </c>
      <c r="H75" s="6">
        <f t="shared" ca="1" si="2"/>
        <v>45217</v>
      </c>
      <c r="I75">
        <f ca="1"/>
        <v>31</v>
      </c>
      <c r="J75" t="str">
        <f ca="1"/>
        <v>The Lost City</v>
      </c>
      <c r="K75" t="str">
        <f ca="1"/>
        <v>Samuel Harris</v>
      </c>
      <c r="L75" t="str">
        <f ca="1"/>
        <v>Adventure</v>
      </c>
      <c r="M75">
        <f ca="1"/>
        <v>2018</v>
      </c>
      <c r="N75">
        <f ca="1"/>
        <v>480.6</v>
      </c>
      <c r="O75">
        <f ca="1"/>
        <v>17</v>
      </c>
      <c r="P75">
        <f ca="1"/>
        <v>45217</v>
      </c>
    </row>
    <row r="76" spans="1:16" x14ac:dyDescent="0.3">
      <c r="A76">
        <v>100</v>
      </c>
      <c r="B76" t="s">
        <v>213</v>
      </c>
      <c r="C76" t="s">
        <v>214</v>
      </c>
      <c r="D76" t="s">
        <v>31</v>
      </c>
      <c r="E76">
        <v>2018</v>
      </c>
      <c r="F76">
        <v>490.25</v>
      </c>
      <c r="G76">
        <v>14</v>
      </c>
      <c r="H76" s="6">
        <f t="shared" ca="1" si="2"/>
        <v>45730</v>
      </c>
      <c r="I76">
        <f ca="1"/>
        <v>100</v>
      </c>
      <c r="J76" t="str">
        <f ca="1"/>
        <v>The Lost Empire</v>
      </c>
      <c r="K76" t="str">
        <f ca="1"/>
        <v>Liam Allen</v>
      </c>
      <c r="L76" t="str">
        <f ca="1"/>
        <v>Adventure</v>
      </c>
      <c r="M76">
        <f ca="1"/>
        <v>2018</v>
      </c>
      <c r="N76">
        <f ca="1"/>
        <v>490.25</v>
      </c>
      <c r="O76">
        <f ca="1"/>
        <v>14</v>
      </c>
      <c r="P76">
        <f ca="1"/>
        <v>45730</v>
      </c>
    </row>
    <row r="77" spans="1:16" x14ac:dyDescent="0.3">
      <c r="A77">
        <v>94</v>
      </c>
      <c r="B77" t="s">
        <v>202</v>
      </c>
      <c r="C77" t="s">
        <v>203</v>
      </c>
      <c r="D77" t="s">
        <v>20</v>
      </c>
      <c r="E77">
        <v>2017</v>
      </c>
      <c r="F77">
        <v>530.1</v>
      </c>
      <c r="G77">
        <v>13</v>
      </c>
      <c r="H77" s="6">
        <f t="shared" ca="1" si="2"/>
        <v>45110</v>
      </c>
      <c r="I77">
        <f ca="1"/>
        <v>94</v>
      </c>
      <c r="J77" t="str">
        <f ca="1"/>
        <v>The Lost Horizon</v>
      </c>
      <c r="K77" t="str">
        <f ca="1"/>
        <v>Sophia Green</v>
      </c>
      <c r="L77" t="str">
        <f ca="1"/>
        <v>Fantasy</v>
      </c>
      <c r="M77">
        <f ca="1"/>
        <v>2017</v>
      </c>
      <c r="N77">
        <f ca="1"/>
        <v>530.1</v>
      </c>
      <c r="O77">
        <f ca="1"/>
        <v>13</v>
      </c>
      <c r="P77">
        <f ca="1"/>
        <v>45110</v>
      </c>
    </row>
    <row r="78" spans="1:16" x14ac:dyDescent="0.3">
      <c r="A78">
        <v>29</v>
      </c>
      <c r="B78" t="s">
        <v>72</v>
      </c>
      <c r="C78" t="s">
        <v>73</v>
      </c>
      <c r="D78" t="s">
        <v>74</v>
      </c>
      <c r="E78">
        <v>2021</v>
      </c>
      <c r="F78">
        <v>550.9</v>
      </c>
      <c r="G78">
        <v>6</v>
      </c>
      <c r="H78" s="6">
        <f t="shared" ca="1" si="2"/>
        <v>45190</v>
      </c>
      <c r="I78">
        <f ca="1"/>
        <v>29</v>
      </c>
      <c r="J78" t="str">
        <f ca="1"/>
        <v>The Neon Horizon</v>
      </c>
      <c r="K78" t="str">
        <f ca="1"/>
        <v>Joseph Adams</v>
      </c>
      <c r="L78" t="str">
        <f ca="1"/>
        <v>Cyberpunk</v>
      </c>
      <c r="M78">
        <f ca="1"/>
        <v>2021</v>
      </c>
      <c r="N78">
        <f ca="1"/>
        <v>550.9</v>
      </c>
      <c r="O78">
        <f ca="1"/>
        <v>6</v>
      </c>
      <c r="P78">
        <f ca="1"/>
        <v>45190</v>
      </c>
    </row>
    <row r="79" spans="1:16" x14ac:dyDescent="0.3">
      <c r="A79">
        <v>49</v>
      </c>
      <c r="B79" t="s">
        <v>113</v>
      </c>
      <c r="C79" t="s">
        <v>114</v>
      </c>
      <c r="D79" t="s">
        <v>20</v>
      </c>
      <c r="E79">
        <v>2016</v>
      </c>
      <c r="F79">
        <v>440</v>
      </c>
      <c r="G79">
        <v>19</v>
      </c>
      <c r="H79" s="6">
        <f t="shared" ca="1" si="2"/>
        <v>46011</v>
      </c>
      <c r="I79">
        <f ca="1"/>
        <v>49</v>
      </c>
      <c r="J79" t="str">
        <f ca="1"/>
        <v>The Night Circus</v>
      </c>
      <c r="K79" t="str">
        <f ca="1"/>
        <v>Arthur Hayes</v>
      </c>
      <c r="L79" t="str">
        <f ca="1"/>
        <v>Fantasy</v>
      </c>
      <c r="M79">
        <f ca="1"/>
        <v>2016</v>
      </c>
      <c r="N79">
        <f ca="1"/>
        <v>440</v>
      </c>
      <c r="O79">
        <f ca="1"/>
        <v>19</v>
      </c>
      <c r="P79">
        <f ca="1"/>
        <v>46011</v>
      </c>
    </row>
    <row r="80" spans="1:16" x14ac:dyDescent="0.3">
      <c r="A80">
        <v>15</v>
      </c>
      <c r="B80" t="s">
        <v>42</v>
      </c>
      <c r="C80" t="s">
        <v>43</v>
      </c>
      <c r="D80" t="s">
        <v>20</v>
      </c>
      <c r="E80">
        <v>2022</v>
      </c>
      <c r="F80">
        <v>620.75</v>
      </c>
      <c r="G80">
        <v>6</v>
      </c>
      <c r="H80" s="6">
        <f t="shared" ca="1" si="2"/>
        <v>45717</v>
      </c>
      <c r="I80">
        <f ca="1"/>
        <v>15</v>
      </c>
      <c r="J80" t="str">
        <f ca="1"/>
        <v>The Painted Mirror</v>
      </c>
      <c r="K80" t="str">
        <f ca="1"/>
        <v>Logan Ward</v>
      </c>
      <c r="L80" t="str">
        <f ca="1"/>
        <v>Fantasy</v>
      </c>
      <c r="M80">
        <f ca="1"/>
        <v>2022</v>
      </c>
      <c r="N80">
        <f ca="1"/>
        <v>620.75</v>
      </c>
      <c r="O80">
        <f ca="1"/>
        <v>6</v>
      </c>
      <c r="P80">
        <f ca="1"/>
        <v>45717</v>
      </c>
    </row>
    <row r="81" spans="1:16" x14ac:dyDescent="0.3">
      <c r="A81">
        <v>23</v>
      </c>
      <c r="B81" t="s">
        <v>59</v>
      </c>
      <c r="C81" t="s">
        <v>60</v>
      </c>
      <c r="D81" t="s">
        <v>11</v>
      </c>
      <c r="E81">
        <v>2021</v>
      </c>
      <c r="F81">
        <v>650.75</v>
      </c>
      <c r="G81">
        <v>5</v>
      </c>
      <c r="H81" s="6">
        <f t="shared" ca="1" si="2"/>
        <v>45689</v>
      </c>
      <c r="I81">
        <f ca="1"/>
        <v>23</v>
      </c>
      <c r="J81" t="str">
        <f ca="1"/>
        <v>The Quantum Paradox</v>
      </c>
      <c r="K81" t="str">
        <f ca="1"/>
        <v>Jack Richardson</v>
      </c>
      <c r="L81" t="str">
        <f ca="1"/>
        <v>Science Fiction</v>
      </c>
      <c r="M81">
        <f ca="1"/>
        <v>2021</v>
      </c>
      <c r="N81">
        <f ca="1"/>
        <v>650.75</v>
      </c>
      <c r="O81">
        <f ca="1"/>
        <v>5</v>
      </c>
      <c r="P81">
        <f ca="1"/>
        <v>45689</v>
      </c>
    </row>
    <row r="82" spans="1:16" x14ac:dyDescent="0.3">
      <c r="A82">
        <v>42</v>
      </c>
      <c r="B82" t="s">
        <v>99</v>
      </c>
      <c r="C82" t="s">
        <v>100</v>
      </c>
      <c r="D82" t="s">
        <v>31</v>
      </c>
      <c r="E82">
        <v>2020</v>
      </c>
      <c r="F82">
        <v>410</v>
      </c>
      <c r="G82">
        <v>11</v>
      </c>
      <c r="H82" s="6">
        <f t="shared" ca="1" si="2"/>
        <v>45327</v>
      </c>
      <c r="I82">
        <f ca="1"/>
        <v>42</v>
      </c>
      <c r="J82" t="str">
        <f ca="1"/>
        <v>The Red Horizon</v>
      </c>
      <c r="K82" t="str">
        <f ca="1"/>
        <v>Madison Young</v>
      </c>
      <c r="L82" t="str">
        <f ca="1"/>
        <v>Adventure</v>
      </c>
      <c r="M82">
        <f ca="1"/>
        <v>2020</v>
      </c>
      <c r="N82">
        <f ca="1"/>
        <v>410</v>
      </c>
      <c r="O82">
        <f ca="1"/>
        <v>11</v>
      </c>
      <c r="P82">
        <f ca="1"/>
        <v>45327</v>
      </c>
    </row>
    <row r="83" spans="1:16" x14ac:dyDescent="0.3">
      <c r="A83">
        <v>86</v>
      </c>
      <c r="B83" t="s">
        <v>187</v>
      </c>
      <c r="C83" t="s">
        <v>188</v>
      </c>
      <c r="D83" t="s">
        <v>17</v>
      </c>
      <c r="E83">
        <v>2022</v>
      </c>
      <c r="F83">
        <v>490</v>
      </c>
      <c r="G83">
        <v>11</v>
      </c>
      <c r="H83" s="6">
        <f t="shared" ca="1" si="2"/>
        <v>45826</v>
      </c>
      <c r="I83">
        <f ca="1"/>
        <v>86</v>
      </c>
      <c r="J83" t="str">
        <f ca="1"/>
        <v>The Scarlet Blade</v>
      </c>
      <c r="K83" t="str">
        <f ca="1"/>
        <v>Benjamin Hughes</v>
      </c>
      <c r="L83" t="str">
        <f ca="1"/>
        <v>Historical Fiction</v>
      </c>
      <c r="M83">
        <f ca="1"/>
        <v>2022</v>
      </c>
      <c r="N83">
        <f ca="1"/>
        <v>490</v>
      </c>
      <c r="O83">
        <f ca="1"/>
        <v>11</v>
      </c>
      <c r="P83">
        <f ca="1"/>
        <v>45826</v>
      </c>
    </row>
    <row r="84" spans="1:16" x14ac:dyDescent="0.3">
      <c r="A84">
        <v>63</v>
      </c>
      <c r="B84" t="s">
        <v>141</v>
      </c>
      <c r="C84" t="s">
        <v>142</v>
      </c>
      <c r="D84" t="s">
        <v>20</v>
      </c>
      <c r="E84">
        <v>2020</v>
      </c>
      <c r="F84">
        <v>540.20000000000005</v>
      </c>
      <c r="G84">
        <v>12</v>
      </c>
      <c r="H84" s="6">
        <f t="shared" ca="1" si="2"/>
        <v>45627</v>
      </c>
      <c r="I84">
        <f ca="1"/>
        <v>63</v>
      </c>
      <c r="J84" t="str">
        <f ca="1"/>
        <v>The Secret Heir</v>
      </c>
      <c r="K84" t="str">
        <f ca="1"/>
        <v>Sophia Carter</v>
      </c>
      <c r="L84" t="str">
        <f ca="1"/>
        <v>Fantasy</v>
      </c>
      <c r="M84">
        <f ca="1"/>
        <v>2020</v>
      </c>
      <c r="N84">
        <f ca="1"/>
        <v>540.20000000000005</v>
      </c>
      <c r="O84">
        <f ca="1"/>
        <v>12</v>
      </c>
      <c r="P84">
        <f ca="1"/>
        <v>45627</v>
      </c>
    </row>
    <row r="85" spans="1:16" x14ac:dyDescent="0.3">
      <c r="A85">
        <v>34</v>
      </c>
      <c r="B85" t="s">
        <v>83</v>
      </c>
      <c r="C85" t="s">
        <v>84</v>
      </c>
      <c r="D85" t="s">
        <v>26</v>
      </c>
      <c r="E85">
        <v>2021</v>
      </c>
      <c r="F85">
        <v>590.5</v>
      </c>
      <c r="G85">
        <v>11</v>
      </c>
      <c r="H85" s="6">
        <f t="shared" ca="1" si="2"/>
        <v>45535</v>
      </c>
      <c r="I85">
        <f ca="1"/>
        <v>34</v>
      </c>
      <c r="J85" t="str">
        <f ca="1"/>
        <v>The Silent Guardian</v>
      </c>
      <c r="K85" t="str">
        <f ca="1"/>
        <v>Chloe Phillips</v>
      </c>
      <c r="L85" t="str">
        <f ca="1"/>
        <v>Thriller</v>
      </c>
      <c r="M85">
        <f ca="1"/>
        <v>2021</v>
      </c>
      <c r="N85">
        <f ca="1"/>
        <v>590.5</v>
      </c>
      <c r="O85">
        <f ca="1"/>
        <v>11</v>
      </c>
      <c r="P85">
        <f ca="1"/>
        <v>45535</v>
      </c>
    </row>
    <row r="86" spans="1:16" x14ac:dyDescent="0.3">
      <c r="A86">
        <v>1</v>
      </c>
      <c r="B86" t="s">
        <v>6</v>
      </c>
      <c r="C86" t="s">
        <v>7</v>
      </c>
      <c r="D86" t="s">
        <v>8</v>
      </c>
      <c r="E86">
        <v>2018</v>
      </c>
      <c r="F86">
        <v>399.99</v>
      </c>
      <c r="G86">
        <v>12</v>
      </c>
      <c r="H86" s="6">
        <f t="shared" ca="1" si="2"/>
        <v>45167</v>
      </c>
      <c r="I86">
        <f ca="1"/>
        <v>1</v>
      </c>
      <c r="J86" t="str">
        <f ca="1"/>
        <v>The Silent River</v>
      </c>
      <c r="K86" t="str">
        <f ca="1"/>
        <v>Ava Thompson</v>
      </c>
      <c r="L86" t="str">
        <f ca="1"/>
        <v>Mystery</v>
      </c>
      <c r="M86">
        <f ca="1"/>
        <v>2018</v>
      </c>
      <c r="N86">
        <f ca="1"/>
        <v>399.99</v>
      </c>
      <c r="O86">
        <f ca="1"/>
        <v>12</v>
      </c>
      <c r="P86">
        <f ca="1"/>
        <v>45167</v>
      </c>
    </row>
    <row r="87" spans="1:16" x14ac:dyDescent="0.3">
      <c r="A87">
        <v>96</v>
      </c>
      <c r="B87" t="s">
        <v>205</v>
      </c>
      <c r="C87" t="s">
        <v>206</v>
      </c>
      <c r="D87" t="s">
        <v>31</v>
      </c>
      <c r="E87">
        <v>2019</v>
      </c>
      <c r="F87">
        <v>510</v>
      </c>
      <c r="G87">
        <v>15</v>
      </c>
      <c r="H87" s="6">
        <f t="shared" ca="1" si="2"/>
        <v>45580</v>
      </c>
      <c r="I87">
        <f ca="1"/>
        <v>96</v>
      </c>
      <c r="J87" t="str">
        <f ca="1"/>
        <v>The Silver Compass</v>
      </c>
      <c r="K87" t="str">
        <f ca="1"/>
        <v>Emma Foster</v>
      </c>
      <c r="L87" t="str">
        <f ca="1"/>
        <v>Adventure</v>
      </c>
      <c r="M87">
        <f ca="1"/>
        <v>2019</v>
      </c>
      <c r="N87">
        <f ca="1"/>
        <v>510</v>
      </c>
      <c r="O87">
        <f ca="1"/>
        <v>15</v>
      </c>
      <c r="P87">
        <f ca="1"/>
        <v>45580</v>
      </c>
    </row>
    <row r="88" spans="1:16" x14ac:dyDescent="0.3">
      <c r="A88">
        <v>78</v>
      </c>
      <c r="B88" t="s">
        <v>171</v>
      </c>
      <c r="C88" t="s">
        <v>88</v>
      </c>
      <c r="D88" t="s">
        <v>20</v>
      </c>
      <c r="E88">
        <v>2019</v>
      </c>
      <c r="F88">
        <v>530.25</v>
      </c>
      <c r="G88">
        <v>10</v>
      </c>
      <c r="H88" s="6">
        <f t="shared" ca="1" si="2"/>
        <v>45348</v>
      </c>
      <c r="I88">
        <f ca="1"/>
        <v>78</v>
      </c>
      <c r="J88" t="str">
        <f ca="1"/>
        <v>The Silver Wolf</v>
      </c>
      <c r="K88" t="str">
        <f ca="1"/>
        <v>Sofia Jenkins</v>
      </c>
      <c r="L88" t="str">
        <f ca="1"/>
        <v>Fantasy</v>
      </c>
      <c r="M88">
        <f ca="1"/>
        <v>2019</v>
      </c>
      <c r="N88">
        <f ca="1"/>
        <v>530.25</v>
      </c>
      <c r="O88">
        <f ca="1"/>
        <v>10</v>
      </c>
      <c r="P88">
        <f ca="1"/>
        <v>45348</v>
      </c>
    </row>
    <row r="89" spans="1:16" x14ac:dyDescent="0.3">
      <c r="A89">
        <v>12</v>
      </c>
      <c r="B89" t="s">
        <v>36</v>
      </c>
      <c r="C89" t="s">
        <v>37</v>
      </c>
      <c r="D89" t="s">
        <v>31</v>
      </c>
      <c r="E89">
        <v>2021</v>
      </c>
      <c r="F89">
        <v>499.99</v>
      </c>
      <c r="G89">
        <v>9</v>
      </c>
      <c r="H89" s="6">
        <f t="shared" ca="1" si="2"/>
        <v>45319</v>
      </c>
      <c r="I89">
        <f ca="1"/>
        <v>12</v>
      </c>
      <c r="J89" t="str">
        <f ca="1"/>
        <v>The Stolen Horizon</v>
      </c>
      <c r="K89" t="str">
        <f ca="1"/>
        <v>Mia Turner</v>
      </c>
      <c r="L89" t="str">
        <f ca="1"/>
        <v>Adventure</v>
      </c>
      <c r="M89">
        <f ca="1"/>
        <v>2021</v>
      </c>
      <c r="N89">
        <f ca="1"/>
        <v>499.99</v>
      </c>
      <c r="O89">
        <f ca="1"/>
        <v>9</v>
      </c>
      <c r="P89">
        <f ca="1"/>
        <v>45319</v>
      </c>
    </row>
    <row r="90" spans="1:16" x14ac:dyDescent="0.3">
      <c r="A90">
        <v>91</v>
      </c>
      <c r="B90" t="s">
        <v>196</v>
      </c>
      <c r="C90" t="s">
        <v>197</v>
      </c>
      <c r="D90" t="s">
        <v>8</v>
      </c>
      <c r="E90">
        <v>2020</v>
      </c>
      <c r="F90">
        <v>440.75</v>
      </c>
      <c r="G90">
        <v>16</v>
      </c>
      <c r="H90" s="6">
        <f t="shared" ca="1" si="2"/>
        <v>45192</v>
      </c>
      <c r="I90">
        <f ca="1"/>
        <v>91</v>
      </c>
      <c r="J90" t="str">
        <f ca="1"/>
        <v>The Vanishing Point</v>
      </c>
      <c r="K90" t="str">
        <f ca="1"/>
        <v>Daniel Ross</v>
      </c>
      <c r="L90" t="str">
        <f ca="1"/>
        <v>Mystery</v>
      </c>
      <c r="M90">
        <f ca="1"/>
        <v>2020</v>
      </c>
      <c r="N90">
        <f ca="1"/>
        <v>440.75</v>
      </c>
      <c r="O90">
        <f ca="1"/>
        <v>16</v>
      </c>
      <c r="P90">
        <f ca="1"/>
        <v>45192</v>
      </c>
    </row>
    <row r="91" spans="1:16" x14ac:dyDescent="0.3">
      <c r="A91">
        <v>14</v>
      </c>
      <c r="B91" t="s">
        <v>40</v>
      </c>
      <c r="C91" t="s">
        <v>41</v>
      </c>
      <c r="D91" t="s">
        <v>14</v>
      </c>
      <c r="E91">
        <v>2014</v>
      </c>
      <c r="F91">
        <v>250.5</v>
      </c>
      <c r="G91">
        <v>30</v>
      </c>
      <c r="H91" s="6">
        <f t="shared" ca="1" si="2"/>
        <v>45705</v>
      </c>
      <c r="I91">
        <f ca="1"/>
        <v>14</v>
      </c>
      <c r="J91" t="str">
        <f ca="1"/>
        <v>The Violet Garden</v>
      </c>
      <c r="K91" t="str">
        <f ca="1"/>
        <v>Amelia Green</v>
      </c>
      <c r="L91" t="str">
        <f ca="1"/>
        <v>Romance</v>
      </c>
      <c r="M91">
        <f ca="1"/>
        <v>2014</v>
      </c>
      <c r="N91">
        <f ca="1"/>
        <v>250.5</v>
      </c>
      <c r="O91">
        <f ca="1"/>
        <v>30</v>
      </c>
      <c r="P91">
        <f ca="1"/>
        <v>45705</v>
      </c>
    </row>
    <row r="92" spans="1:16" x14ac:dyDescent="0.3">
      <c r="A92">
        <v>53</v>
      </c>
      <c r="B92" t="s">
        <v>121</v>
      </c>
      <c r="C92" t="s">
        <v>122</v>
      </c>
      <c r="D92" t="s">
        <v>20</v>
      </c>
      <c r="E92">
        <v>2020</v>
      </c>
      <c r="F92">
        <v>460.5</v>
      </c>
      <c r="G92">
        <v>12</v>
      </c>
      <c r="H92" s="6">
        <f t="shared" ca="1" si="2"/>
        <v>45943</v>
      </c>
      <c r="I92">
        <f ca="1"/>
        <v>53</v>
      </c>
      <c r="J92" t="str">
        <f ca="1"/>
        <v>The Wandering Soul</v>
      </c>
      <c r="K92" t="str">
        <f ca="1"/>
        <v>Nathan Mitchell</v>
      </c>
      <c r="L92" t="str">
        <f ca="1"/>
        <v>Fantasy</v>
      </c>
      <c r="M92">
        <f ca="1"/>
        <v>2020</v>
      </c>
      <c r="N92">
        <f ca="1"/>
        <v>460.5</v>
      </c>
      <c r="O92">
        <f ca="1"/>
        <v>12</v>
      </c>
      <c r="P92">
        <f ca="1"/>
        <v>45943</v>
      </c>
    </row>
    <row r="93" spans="1:16" x14ac:dyDescent="0.3">
      <c r="A93">
        <v>30</v>
      </c>
      <c r="B93" t="s">
        <v>75</v>
      </c>
      <c r="C93" t="s">
        <v>76</v>
      </c>
      <c r="D93" t="s">
        <v>17</v>
      </c>
      <c r="E93">
        <v>2016</v>
      </c>
      <c r="F93">
        <v>460.25</v>
      </c>
      <c r="G93">
        <v>13</v>
      </c>
      <c r="H93" s="6">
        <f t="shared" ca="1" si="2"/>
        <v>45699</v>
      </c>
      <c r="I93">
        <f ca="1"/>
        <v>30</v>
      </c>
      <c r="J93" t="str">
        <f ca="1"/>
        <v>The Winter’s Crown</v>
      </c>
      <c r="K93" t="str">
        <f ca="1"/>
        <v>Victoria Hall</v>
      </c>
      <c r="L93" t="str">
        <f ca="1"/>
        <v>Historical Fiction</v>
      </c>
      <c r="M93">
        <f ca="1"/>
        <v>2016</v>
      </c>
      <c r="N93">
        <f ca="1"/>
        <v>460.25</v>
      </c>
      <c r="O93">
        <f ca="1"/>
        <v>13</v>
      </c>
      <c r="P93">
        <f ca="1"/>
        <v>45699</v>
      </c>
    </row>
    <row r="94" spans="1:16" x14ac:dyDescent="0.3">
      <c r="A94">
        <v>13</v>
      </c>
      <c r="B94" t="s">
        <v>38</v>
      </c>
      <c r="C94" t="s">
        <v>39</v>
      </c>
      <c r="D94" t="s">
        <v>11</v>
      </c>
      <c r="E94">
        <v>2019</v>
      </c>
      <c r="F94">
        <v>420.3</v>
      </c>
      <c r="G94">
        <v>16</v>
      </c>
      <c r="H94" s="6">
        <f t="shared" ca="1" si="2"/>
        <v>45091</v>
      </c>
      <c r="I94">
        <f ca="1"/>
        <v>13</v>
      </c>
      <c r="J94" t="str">
        <f ca="1"/>
        <v>Through the Last Gate</v>
      </c>
      <c r="K94" t="str">
        <f ca="1"/>
        <v>Benjamin Price</v>
      </c>
      <c r="L94" t="str">
        <f ca="1"/>
        <v>Science Fiction</v>
      </c>
      <c r="M94">
        <f ca="1"/>
        <v>2019</v>
      </c>
      <c r="N94">
        <f ca="1"/>
        <v>420.3</v>
      </c>
      <c r="O94">
        <f ca="1"/>
        <v>16</v>
      </c>
      <c r="P94">
        <f ca="1"/>
        <v>45091</v>
      </c>
    </row>
    <row r="95" spans="1:16" x14ac:dyDescent="0.3">
      <c r="A95">
        <v>21</v>
      </c>
      <c r="B95" t="s">
        <v>55</v>
      </c>
      <c r="C95" t="s">
        <v>56</v>
      </c>
      <c r="D95" t="s">
        <v>31</v>
      </c>
      <c r="E95">
        <v>2020</v>
      </c>
      <c r="F95">
        <v>470.2</v>
      </c>
      <c r="G95">
        <v>7</v>
      </c>
      <c r="H95" s="6">
        <f t="shared" ca="1" si="2"/>
        <v>44927</v>
      </c>
      <c r="I95">
        <f ca="1"/>
        <v>21</v>
      </c>
      <c r="J95" t="str">
        <f ca="1"/>
        <v>Tides of Destiny</v>
      </c>
      <c r="K95" t="str">
        <f ca="1"/>
        <v>Michael Gray</v>
      </c>
      <c r="L95" t="str">
        <f ca="1"/>
        <v>Adventure</v>
      </c>
      <c r="M95">
        <f ca="1"/>
        <v>2020</v>
      </c>
      <c r="N95">
        <f ca="1"/>
        <v>470.2</v>
      </c>
      <c r="O95">
        <f ca="1"/>
        <v>7</v>
      </c>
      <c r="P95">
        <f ca="1"/>
        <v>44927</v>
      </c>
    </row>
    <row r="96" spans="1:16" x14ac:dyDescent="0.3">
      <c r="A96">
        <v>81</v>
      </c>
      <c r="B96" t="s">
        <v>177</v>
      </c>
      <c r="C96" t="s">
        <v>178</v>
      </c>
      <c r="D96" t="s">
        <v>17</v>
      </c>
      <c r="E96">
        <v>2018</v>
      </c>
      <c r="F96">
        <v>470.25</v>
      </c>
      <c r="G96">
        <v>14</v>
      </c>
      <c r="H96" s="6">
        <f t="shared" ca="1" si="2"/>
        <v>45450</v>
      </c>
      <c r="I96">
        <f ca="1"/>
        <v>81</v>
      </c>
      <c r="J96" t="str">
        <f ca="1"/>
        <v>Under the Midnight Sun</v>
      </c>
      <c r="K96" t="str">
        <f ca="1"/>
        <v>Michael Brown</v>
      </c>
      <c r="L96" t="str">
        <f ca="1"/>
        <v>Historical Fiction</v>
      </c>
      <c r="M96">
        <f ca="1"/>
        <v>2018</v>
      </c>
      <c r="N96">
        <f ca="1"/>
        <v>470.25</v>
      </c>
      <c r="O96">
        <f ca="1"/>
        <v>14</v>
      </c>
      <c r="P96">
        <f ca="1"/>
        <v>45450</v>
      </c>
    </row>
    <row r="97" spans="1:16" x14ac:dyDescent="0.3">
      <c r="A97">
        <v>65</v>
      </c>
      <c r="B97" t="s">
        <v>145</v>
      </c>
      <c r="C97" t="s">
        <v>146</v>
      </c>
      <c r="D97" t="s">
        <v>17</v>
      </c>
      <c r="E97">
        <v>2018</v>
      </c>
      <c r="F97">
        <v>480.25</v>
      </c>
      <c r="G97">
        <v>13</v>
      </c>
      <c r="H97" s="6">
        <f t="shared" ca="1" si="2"/>
        <v>45337</v>
      </c>
      <c r="I97">
        <f ca="1"/>
        <v>65</v>
      </c>
      <c r="J97" t="str">
        <f ca="1"/>
        <v>Under the Scarlet Sky</v>
      </c>
      <c r="K97" t="str">
        <f ca="1"/>
        <v>Mia Walker</v>
      </c>
      <c r="L97" t="str">
        <f ca="1"/>
        <v>Historical Fiction</v>
      </c>
      <c r="M97">
        <f ca="1"/>
        <v>2018</v>
      </c>
      <c r="N97">
        <f ca="1"/>
        <v>480.25</v>
      </c>
      <c r="O97">
        <f ca="1"/>
        <v>13</v>
      </c>
      <c r="P97">
        <f ca="1"/>
        <v>45337</v>
      </c>
    </row>
    <row r="98" spans="1:16" x14ac:dyDescent="0.3">
      <c r="A98">
        <v>20</v>
      </c>
      <c r="B98" t="s">
        <v>52</v>
      </c>
      <c r="C98" t="s">
        <v>53</v>
      </c>
      <c r="D98" t="s">
        <v>54</v>
      </c>
      <c r="E98">
        <v>2018</v>
      </c>
      <c r="F98">
        <v>390</v>
      </c>
      <c r="G98">
        <v>12</v>
      </c>
      <c r="H98" s="6">
        <f t="shared" ref="H98:H106" ca="1" si="3">RANDBETWEEN(DATE(2023,1,1), DATE(2025,12,31))</f>
        <v>45408</v>
      </c>
      <c r="I98">
        <f ca="1"/>
        <v>20</v>
      </c>
      <c r="J98" t="str">
        <f ca="1"/>
        <v>Voices from the Deep</v>
      </c>
      <c r="K98" t="str">
        <f ca="1"/>
        <v>Evelyn James</v>
      </c>
      <c r="L98" t="str">
        <f ca="1"/>
        <v>Horror</v>
      </c>
      <c r="M98">
        <f ca="1"/>
        <v>2018</v>
      </c>
      <c r="N98">
        <f ca="1"/>
        <v>390</v>
      </c>
      <c r="O98">
        <f ca="1"/>
        <v>12</v>
      </c>
      <c r="P98">
        <f ca="1"/>
        <v>45408</v>
      </c>
    </row>
    <row r="99" spans="1:16" x14ac:dyDescent="0.3">
      <c r="A99">
        <v>55</v>
      </c>
      <c r="B99" t="s">
        <v>125</v>
      </c>
      <c r="C99" t="s">
        <v>126</v>
      </c>
      <c r="D99" t="s">
        <v>54</v>
      </c>
      <c r="E99">
        <v>2019</v>
      </c>
      <c r="F99">
        <v>410.1</v>
      </c>
      <c r="G99">
        <v>16</v>
      </c>
      <c r="H99" s="6">
        <f t="shared" ca="1" si="3"/>
        <v>45886</v>
      </c>
      <c r="I99">
        <f ca="1"/>
        <v>55</v>
      </c>
      <c r="J99" t="str">
        <f ca="1"/>
        <v>Voices in the Dark</v>
      </c>
      <c r="K99" t="str">
        <f ca="1"/>
        <v>Eli Parker</v>
      </c>
      <c r="L99" t="str">
        <f ca="1"/>
        <v>Horror</v>
      </c>
      <c r="M99">
        <f ca="1"/>
        <v>2019</v>
      </c>
      <c r="N99">
        <f ca="1"/>
        <v>410.1</v>
      </c>
      <c r="O99">
        <f ca="1"/>
        <v>16</v>
      </c>
      <c r="P99">
        <f ca="1"/>
        <v>45886</v>
      </c>
    </row>
    <row r="100" spans="1:16" x14ac:dyDescent="0.3">
      <c r="A100">
        <v>40</v>
      </c>
      <c r="B100" t="s">
        <v>95</v>
      </c>
      <c r="C100" t="s">
        <v>96</v>
      </c>
      <c r="D100" t="s">
        <v>14</v>
      </c>
      <c r="E100">
        <v>2018</v>
      </c>
      <c r="F100">
        <v>290</v>
      </c>
      <c r="G100">
        <v>23</v>
      </c>
      <c r="H100" s="6">
        <f t="shared" ca="1" si="3"/>
        <v>45075</v>
      </c>
      <c r="I100">
        <f ca="1"/>
        <v>40</v>
      </c>
      <c r="J100" t="str">
        <f ca="1"/>
        <v>When the Stars Fade</v>
      </c>
      <c r="K100" t="str">
        <f ca="1"/>
        <v>Natalie Allen</v>
      </c>
      <c r="L100" t="str">
        <f ca="1"/>
        <v>Romance</v>
      </c>
      <c r="M100">
        <f ca="1"/>
        <v>2018</v>
      </c>
      <c r="N100">
        <f ca="1"/>
        <v>290</v>
      </c>
      <c r="O100">
        <f ca="1"/>
        <v>23</v>
      </c>
      <c r="P100">
        <f ca="1"/>
        <v>45075</v>
      </c>
    </row>
    <row r="101" spans="1:16" x14ac:dyDescent="0.3">
      <c r="A101">
        <v>82</v>
      </c>
      <c r="B101" t="s">
        <v>179</v>
      </c>
      <c r="C101" t="s">
        <v>180</v>
      </c>
      <c r="D101" t="s">
        <v>26</v>
      </c>
      <c r="E101">
        <v>2019</v>
      </c>
      <c r="F101">
        <v>400</v>
      </c>
      <c r="G101">
        <v>12</v>
      </c>
      <c r="H101" s="6">
        <f t="shared" ca="1" si="3"/>
        <v>45959</v>
      </c>
      <c r="I101">
        <f ca="1"/>
        <v>82</v>
      </c>
      <c r="J101" t="str">
        <f ca="1"/>
        <v>Whispering Shadows</v>
      </c>
      <c r="K101" t="str">
        <f ca="1"/>
        <v>Avery Lewis</v>
      </c>
      <c r="L101" t="str">
        <f ca="1"/>
        <v>Thriller</v>
      </c>
      <c r="M101">
        <f ca="1"/>
        <v>2019</v>
      </c>
      <c r="N101">
        <f ca="1"/>
        <v>400</v>
      </c>
      <c r="O101">
        <f ca="1"/>
        <v>12</v>
      </c>
      <c r="P101">
        <f ca="1"/>
        <v>45959</v>
      </c>
    </row>
    <row r="102" spans="1:16" x14ac:dyDescent="0.3">
      <c r="A102">
        <v>3</v>
      </c>
      <c r="B102" t="s">
        <v>12</v>
      </c>
      <c r="C102" t="s">
        <v>13</v>
      </c>
      <c r="D102" t="s">
        <v>14</v>
      </c>
      <c r="E102">
        <v>2016</v>
      </c>
      <c r="F102">
        <v>299</v>
      </c>
      <c r="G102">
        <v>20</v>
      </c>
      <c r="H102" s="6">
        <f t="shared" ca="1" si="3"/>
        <v>45670</v>
      </c>
      <c r="I102">
        <f ca="1"/>
        <v>3</v>
      </c>
      <c r="J102" t="str">
        <f ca="1"/>
        <v>Whispers in the Wind</v>
      </c>
      <c r="K102" t="str">
        <f ca="1"/>
        <v>Sophia Bennett</v>
      </c>
      <c r="L102" t="str">
        <f ca="1"/>
        <v>Romance</v>
      </c>
      <c r="M102">
        <f ca="1"/>
        <v>2016</v>
      </c>
      <c r="N102">
        <f ca="1"/>
        <v>299</v>
      </c>
      <c r="O102">
        <f ca="1"/>
        <v>20</v>
      </c>
      <c r="P102">
        <f ca="1"/>
        <v>45670</v>
      </c>
    </row>
    <row r="103" spans="1:16" x14ac:dyDescent="0.3">
      <c r="A103">
        <v>43</v>
      </c>
      <c r="B103" t="s">
        <v>101</v>
      </c>
      <c r="C103" t="s">
        <v>102</v>
      </c>
      <c r="D103" t="s">
        <v>20</v>
      </c>
      <c r="E103">
        <v>2022</v>
      </c>
      <c r="F103">
        <v>590.25</v>
      </c>
      <c r="G103">
        <v>8</v>
      </c>
      <c r="H103" s="6">
        <f t="shared" ca="1" si="3"/>
        <v>45806</v>
      </c>
      <c r="I103">
        <f ca="1"/>
        <v>43</v>
      </c>
      <c r="J103" t="str">
        <f ca="1"/>
        <v>Whispers of the Forest</v>
      </c>
      <c r="K103" t="str">
        <f ca="1"/>
        <v>Andrew Morris</v>
      </c>
      <c r="L103" t="str">
        <f ca="1"/>
        <v>Fantasy</v>
      </c>
      <c r="M103">
        <f ca="1"/>
        <v>2022</v>
      </c>
      <c r="N103">
        <f ca="1"/>
        <v>590.25</v>
      </c>
      <c r="O103">
        <f ca="1"/>
        <v>8</v>
      </c>
      <c r="P103">
        <f ca="1"/>
        <v>45806</v>
      </c>
    </row>
    <row r="104" spans="1:16" x14ac:dyDescent="0.3">
      <c r="A104">
        <v>48</v>
      </c>
      <c r="B104" t="s">
        <v>111</v>
      </c>
      <c r="C104" t="s">
        <v>112</v>
      </c>
      <c r="D104" t="s">
        <v>17</v>
      </c>
      <c r="E104">
        <v>2018</v>
      </c>
      <c r="F104">
        <v>490.2</v>
      </c>
      <c r="G104">
        <v>13</v>
      </c>
      <c r="H104" s="6">
        <f t="shared" ca="1" si="3"/>
        <v>45231</v>
      </c>
      <c r="I104">
        <f ca="1"/>
        <v>48</v>
      </c>
      <c r="J104" t="str">
        <f ca="1"/>
        <v>Winds of the West</v>
      </c>
      <c r="K104" t="str">
        <f ca="1"/>
        <v>Grace Adams</v>
      </c>
      <c r="L104" t="str">
        <f ca="1"/>
        <v>Historical Fiction</v>
      </c>
      <c r="M104">
        <f ca="1"/>
        <v>2018</v>
      </c>
      <c r="N104">
        <f ca="1"/>
        <v>490.2</v>
      </c>
      <c r="O104">
        <f ca="1"/>
        <v>13</v>
      </c>
      <c r="P104">
        <f ca="1"/>
        <v>45231</v>
      </c>
    </row>
    <row r="105" spans="1:16" x14ac:dyDescent="0.3">
      <c r="A105">
        <v>90</v>
      </c>
      <c r="B105" t="s">
        <v>194</v>
      </c>
      <c r="C105" t="s">
        <v>195</v>
      </c>
      <c r="D105" t="s">
        <v>20</v>
      </c>
      <c r="E105">
        <v>2019</v>
      </c>
      <c r="F105">
        <v>520</v>
      </c>
      <c r="G105">
        <v>12</v>
      </c>
      <c r="H105" s="6">
        <f t="shared" ca="1" si="3"/>
        <v>45670</v>
      </c>
      <c r="I105">
        <f ca="1"/>
        <v>90</v>
      </c>
      <c r="J105" t="str">
        <f ca="1"/>
        <v>Winds of Time</v>
      </c>
      <c r="K105" t="str">
        <f ca="1"/>
        <v>Ava Scott</v>
      </c>
      <c r="L105" t="str">
        <f ca="1"/>
        <v>Fantasy</v>
      </c>
      <c r="M105">
        <f ca="1"/>
        <v>2019</v>
      </c>
      <c r="N105">
        <f ca="1"/>
        <v>520</v>
      </c>
      <c r="O105">
        <f ca="1"/>
        <v>12</v>
      </c>
      <c r="P105">
        <f ca="1"/>
        <v>45670</v>
      </c>
    </row>
    <row r="106" spans="1:16" x14ac:dyDescent="0.3">
      <c r="A106">
        <v>8</v>
      </c>
      <c r="B106" t="s">
        <v>27</v>
      </c>
      <c r="C106" t="s">
        <v>28</v>
      </c>
      <c r="D106" t="s">
        <v>20</v>
      </c>
      <c r="E106">
        <v>2017</v>
      </c>
      <c r="F106">
        <v>470.1</v>
      </c>
      <c r="G106">
        <v>18</v>
      </c>
      <c r="H106" s="6">
        <f t="shared" ca="1" si="3"/>
        <v>45338</v>
      </c>
      <c r="I106">
        <f ca="1"/>
        <v>8</v>
      </c>
      <c r="J106" t="str">
        <f ca="1"/>
        <v>Wings of Glass</v>
      </c>
      <c r="K106" t="str">
        <f ca="1"/>
        <v>Isabella Reed</v>
      </c>
      <c r="L106" t="str">
        <f ca="1"/>
        <v>Fantasy</v>
      </c>
      <c r="M106">
        <f ca="1"/>
        <v>2017</v>
      </c>
      <c r="N106">
        <f ca="1"/>
        <v>470.1</v>
      </c>
      <c r="O106">
        <f ca="1"/>
        <v>18</v>
      </c>
      <c r="P106">
        <f ca="1"/>
        <v>45338</v>
      </c>
    </row>
    <row r="108" spans="1:16" x14ac:dyDescent="0.3">
      <c r="E108" t="s">
        <v>225</v>
      </c>
      <c r="F108">
        <f>MAX(BOOKS_RECORDS[price])</f>
        <v>720</v>
      </c>
      <c r="G108">
        <f>MAX(BOOKS_RECORDS[[stock ]])</f>
        <v>30</v>
      </c>
    </row>
    <row r="109" spans="1:16" x14ac:dyDescent="0.3">
      <c r="E109" t="s">
        <v>226</v>
      </c>
      <c r="F109">
        <f>MIN(BOOKS_RECORDS[price])</f>
        <v>250.5</v>
      </c>
    </row>
    <row r="112" spans="1:16" x14ac:dyDescent="0.3">
      <c r="A112" s="1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3" t="s">
        <v>224</v>
      </c>
      <c r="I112" s="1" t="s">
        <v>0</v>
      </c>
      <c r="J112" s="2" t="s">
        <v>1</v>
      </c>
      <c r="K112" s="2" t="s">
        <v>2</v>
      </c>
      <c r="L112" s="2" t="s">
        <v>3</v>
      </c>
      <c r="M112" s="2" t="s">
        <v>4</v>
      </c>
      <c r="N112" s="2" t="s">
        <v>5</v>
      </c>
      <c r="O112" s="3" t="s">
        <v>224</v>
      </c>
    </row>
    <row r="113" spans="1:16" x14ac:dyDescent="0.3">
      <c r="A113" cm="1">
        <f t="array" aca="1" ref="A113:H217" ca="1">_xlfn._xlws.SORT(BOOKS_RECORDS[],7,1,FALSE)</f>
        <v>23</v>
      </c>
      <c r="B113" t="str">
        <f ca="1"/>
        <v>The Quantum Paradox</v>
      </c>
      <c r="C113" t="str">
        <f ca="1"/>
        <v>Jack Richardson</v>
      </c>
      <c r="D113" t="str">
        <f ca="1"/>
        <v>Science Fiction</v>
      </c>
      <c r="E113">
        <f ca="1"/>
        <v>2021</v>
      </c>
      <c r="F113">
        <f ca="1"/>
        <v>650.75</v>
      </c>
      <c r="G113">
        <f ca="1"/>
        <v>5</v>
      </c>
      <c r="H113" s="6">
        <f ca="1"/>
        <v>45689</v>
      </c>
      <c r="I113" cm="1">
        <f t="array" aca="1" ref="I113:P217" ca="1">_xlfn._xlws.SORT(_xlfn.ANCHORARRAY(A113),6,-1,)</f>
        <v>33</v>
      </c>
      <c r="J113" t="str">
        <f ca="1"/>
        <v>Beyond the Stars</v>
      </c>
      <c r="K113" t="str">
        <f ca="1"/>
        <v>Owen Stewart</v>
      </c>
      <c r="L113" t="str">
        <f ca="1"/>
        <v>Science Fiction</v>
      </c>
      <c r="M113">
        <f ca="1"/>
        <v>2022</v>
      </c>
      <c r="N113">
        <f ca="1"/>
        <v>720</v>
      </c>
      <c r="O113">
        <f ca="1"/>
        <v>8</v>
      </c>
      <c r="P113">
        <f ca="1"/>
        <v>45245</v>
      </c>
    </row>
    <row r="114" spans="1:16" x14ac:dyDescent="0.3">
      <c r="A114">
        <f ca="1"/>
        <v>47</v>
      </c>
      <c r="B114" t="str">
        <f ca="1"/>
        <v>Ocean of Time</v>
      </c>
      <c r="C114" t="str">
        <f ca="1"/>
        <v>Amelia Hill</v>
      </c>
      <c r="D114" t="str">
        <f ca="1"/>
        <v>Science Fiction</v>
      </c>
      <c r="E114">
        <f ca="1"/>
        <v>2021</v>
      </c>
      <c r="F114">
        <f ca="1"/>
        <v>680.75</v>
      </c>
      <c r="G114">
        <f ca="1"/>
        <v>6</v>
      </c>
      <c r="H114" s="6">
        <f ca="1"/>
        <v>45613</v>
      </c>
      <c r="I114">
        <f ca="1"/>
        <v>70</v>
      </c>
      <c r="J114" t="str">
        <f ca="1"/>
        <v>Rise of the Machines</v>
      </c>
      <c r="K114" t="str">
        <f ca="1"/>
        <v>Jacob Perry</v>
      </c>
      <c r="L114" t="str">
        <f ca="1"/>
        <v>Science Fiction</v>
      </c>
      <c r="M114">
        <f ca="1"/>
        <v>2020</v>
      </c>
      <c r="N114">
        <f ca="1"/>
        <v>720</v>
      </c>
      <c r="O114">
        <f ca="1"/>
        <v>8</v>
      </c>
      <c r="P114">
        <f ca="1"/>
        <v>45989</v>
      </c>
    </row>
    <row r="115" spans="1:16" x14ac:dyDescent="0.3">
      <c r="A115">
        <f ca="1"/>
        <v>66</v>
      </c>
      <c r="B115" t="str">
        <f ca="1"/>
        <v>Shattered Skies</v>
      </c>
      <c r="C115" t="str">
        <f ca="1"/>
        <v>Benjamin Lewis</v>
      </c>
      <c r="D115" t="str">
        <f ca="1"/>
        <v>Science Fiction</v>
      </c>
      <c r="E115">
        <f ca="1"/>
        <v>2019</v>
      </c>
      <c r="F115">
        <f ca="1"/>
        <v>670.1</v>
      </c>
      <c r="G115">
        <f ca="1"/>
        <v>6</v>
      </c>
      <c r="H115" s="6">
        <f ca="1"/>
        <v>45096</v>
      </c>
      <c r="I115">
        <f ca="1"/>
        <v>98</v>
      </c>
      <c r="J115" t="str">
        <f ca="1"/>
        <v>The Dark Sun</v>
      </c>
      <c r="K115" t="str">
        <f ca="1"/>
        <v>Aiden Lewis</v>
      </c>
      <c r="L115" t="str">
        <f ca="1"/>
        <v>Science Fiction</v>
      </c>
      <c r="M115">
        <f ca="1"/>
        <v>2022</v>
      </c>
      <c r="N115">
        <f ca="1"/>
        <v>700.25</v>
      </c>
      <c r="O115">
        <f ca="1"/>
        <v>8</v>
      </c>
      <c r="P115">
        <f ca="1"/>
        <v>45617</v>
      </c>
    </row>
    <row r="116" spans="1:16" x14ac:dyDescent="0.3">
      <c r="A116">
        <f ca="1"/>
        <v>29</v>
      </c>
      <c r="B116" t="str">
        <f ca="1"/>
        <v>The Neon Horizon</v>
      </c>
      <c r="C116" t="str">
        <f ca="1"/>
        <v>Joseph Adams</v>
      </c>
      <c r="D116" t="str">
        <f ca="1"/>
        <v>Cyberpunk</v>
      </c>
      <c r="E116">
        <f ca="1"/>
        <v>2021</v>
      </c>
      <c r="F116">
        <f ca="1"/>
        <v>550.9</v>
      </c>
      <c r="G116">
        <f ca="1"/>
        <v>6</v>
      </c>
      <c r="H116" s="6">
        <f ca="1"/>
        <v>45190</v>
      </c>
      <c r="I116">
        <f ca="1"/>
        <v>62</v>
      </c>
      <c r="J116" t="str">
        <f ca="1"/>
        <v>Dreams of Tomorrow</v>
      </c>
      <c r="K116" t="str">
        <f ca="1"/>
        <v>Harper Adams</v>
      </c>
      <c r="L116" t="str">
        <f ca="1"/>
        <v>Science Fiction</v>
      </c>
      <c r="M116">
        <f ca="1"/>
        <v>2022</v>
      </c>
      <c r="N116">
        <f ca="1"/>
        <v>690</v>
      </c>
      <c r="O116">
        <f ca="1"/>
        <v>7</v>
      </c>
      <c r="P116">
        <f ca="1"/>
        <v>45107</v>
      </c>
    </row>
    <row r="117" spans="1:16" x14ac:dyDescent="0.3">
      <c r="A117">
        <f ca="1"/>
        <v>15</v>
      </c>
      <c r="B117" t="str">
        <f ca="1"/>
        <v>The Painted Mirror</v>
      </c>
      <c r="C117" t="str">
        <f ca="1"/>
        <v>Logan Ward</v>
      </c>
      <c r="D117" t="str">
        <f ca="1"/>
        <v>Fantasy</v>
      </c>
      <c r="E117">
        <f ca="1"/>
        <v>2022</v>
      </c>
      <c r="F117">
        <f ca="1"/>
        <v>620.75</v>
      </c>
      <c r="G117">
        <f ca="1"/>
        <v>6</v>
      </c>
      <c r="H117" s="6">
        <f ca="1"/>
        <v>45717</v>
      </c>
      <c r="I117">
        <f ca="1"/>
        <v>84</v>
      </c>
      <c r="J117" t="str">
        <f ca="1"/>
        <v>City of Illusions</v>
      </c>
      <c r="K117" t="str">
        <f ca="1"/>
        <v>James Ross</v>
      </c>
      <c r="L117" t="str">
        <f ca="1"/>
        <v>Science Fiction</v>
      </c>
      <c r="M117">
        <f ca="1"/>
        <v>2021</v>
      </c>
      <c r="N117">
        <f ca="1"/>
        <v>680.9</v>
      </c>
      <c r="O117">
        <f ca="1"/>
        <v>7</v>
      </c>
      <c r="P117">
        <f ca="1"/>
        <v>45124</v>
      </c>
    </row>
    <row r="118" spans="1:16" x14ac:dyDescent="0.3">
      <c r="A118">
        <f ca="1"/>
        <v>84</v>
      </c>
      <c r="B118" t="str">
        <f ca="1"/>
        <v>City of Illusions</v>
      </c>
      <c r="C118" t="str">
        <f ca="1"/>
        <v>James Ross</v>
      </c>
      <c r="D118" t="str">
        <f ca="1"/>
        <v>Science Fiction</v>
      </c>
      <c r="E118">
        <f ca="1"/>
        <v>2021</v>
      </c>
      <c r="F118">
        <f ca="1"/>
        <v>680.9</v>
      </c>
      <c r="G118">
        <f ca="1"/>
        <v>7</v>
      </c>
      <c r="H118" s="6">
        <f ca="1"/>
        <v>45124</v>
      </c>
      <c r="I118">
        <f ca="1"/>
        <v>47</v>
      </c>
      <c r="J118" t="str">
        <f ca="1"/>
        <v>Ocean of Time</v>
      </c>
      <c r="K118" t="str">
        <f ca="1"/>
        <v>Amelia Hill</v>
      </c>
      <c r="L118" t="str">
        <f ca="1"/>
        <v>Science Fiction</v>
      </c>
      <c r="M118">
        <f ca="1"/>
        <v>2021</v>
      </c>
      <c r="N118">
        <f ca="1"/>
        <v>680.75</v>
      </c>
      <c r="O118">
        <f ca="1"/>
        <v>6</v>
      </c>
      <c r="P118">
        <f ca="1"/>
        <v>45613</v>
      </c>
    </row>
    <row r="119" spans="1:16" x14ac:dyDescent="0.3">
      <c r="A119">
        <f ca="1"/>
        <v>62</v>
      </c>
      <c r="B119" t="str">
        <f ca="1"/>
        <v>Dreams of Tomorrow</v>
      </c>
      <c r="C119" t="str">
        <f ca="1"/>
        <v>Harper Adams</v>
      </c>
      <c r="D119" t="str">
        <f ca="1"/>
        <v>Science Fiction</v>
      </c>
      <c r="E119">
        <f ca="1"/>
        <v>2022</v>
      </c>
      <c r="F119">
        <f ca="1"/>
        <v>690</v>
      </c>
      <c r="G119">
        <f ca="1"/>
        <v>7</v>
      </c>
      <c r="H119" s="6">
        <f ca="1"/>
        <v>45107</v>
      </c>
      <c r="I119">
        <f ca="1"/>
        <v>101</v>
      </c>
      <c r="J119" t="str">
        <f ca="1"/>
        <v>The Final Dawn</v>
      </c>
      <c r="K119" t="str">
        <f ca="1"/>
        <v>Olivia Scott</v>
      </c>
      <c r="L119" t="str">
        <f ca="1"/>
        <v>Science Fiction</v>
      </c>
      <c r="M119">
        <f ca="1"/>
        <v>2019</v>
      </c>
      <c r="N119">
        <f ca="1"/>
        <v>680</v>
      </c>
      <c r="O119">
        <f ca="1"/>
        <v>7</v>
      </c>
      <c r="P119">
        <f ca="1"/>
        <v>45614</v>
      </c>
    </row>
    <row r="120" spans="1:16" x14ac:dyDescent="0.3">
      <c r="A120">
        <f ca="1"/>
        <v>105</v>
      </c>
      <c r="B120" t="str">
        <f ca="1"/>
        <v>Endless Sky</v>
      </c>
      <c r="C120" t="str">
        <f ca="1"/>
        <v>Jacob Gray</v>
      </c>
      <c r="D120" t="str">
        <f ca="1"/>
        <v>Science Fiction</v>
      </c>
      <c r="E120">
        <f ca="1"/>
        <v>2020</v>
      </c>
      <c r="F120">
        <f ca="1"/>
        <v>670</v>
      </c>
      <c r="G120">
        <f ca="1"/>
        <v>7</v>
      </c>
      <c r="H120" s="6">
        <f ca="1"/>
        <v>44974</v>
      </c>
      <c r="I120">
        <f ca="1"/>
        <v>66</v>
      </c>
      <c r="J120" t="str">
        <f ca="1"/>
        <v>Shattered Skies</v>
      </c>
      <c r="K120" t="str">
        <f ca="1"/>
        <v>Benjamin Lewis</v>
      </c>
      <c r="L120" t="str">
        <f ca="1"/>
        <v>Science Fiction</v>
      </c>
      <c r="M120">
        <f ca="1"/>
        <v>2019</v>
      </c>
      <c r="N120">
        <f ca="1"/>
        <v>670.1</v>
      </c>
      <c r="O120">
        <f ca="1"/>
        <v>6</v>
      </c>
      <c r="P120">
        <f ca="1"/>
        <v>45096</v>
      </c>
    </row>
    <row r="121" spans="1:16" x14ac:dyDescent="0.3">
      <c r="A121">
        <f ca="1"/>
        <v>97</v>
      </c>
      <c r="B121" t="str">
        <f ca="1"/>
        <v>Shadows Over Avalon</v>
      </c>
      <c r="C121" t="str">
        <f ca="1"/>
        <v>Benjamin Hill</v>
      </c>
      <c r="D121" t="str">
        <f ca="1"/>
        <v>Fantasy</v>
      </c>
      <c r="E121">
        <f ca="1"/>
        <v>2021</v>
      </c>
      <c r="F121">
        <f ca="1"/>
        <v>620</v>
      </c>
      <c r="G121">
        <f ca="1"/>
        <v>7</v>
      </c>
      <c r="H121" s="6">
        <f ca="1"/>
        <v>46007</v>
      </c>
      <c r="I121">
        <f ca="1"/>
        <v>105</v>
      </c>
      <c r="J121" t="str">
        <f ca="1"/>
        <v>Endless Sky</v>
      </c>
      <c r="K121" t="str">
        <f ca="1"/>
        <v>Jacob Gray</v>
      </c>
      <c r="L121" t="str">
        <f ca="1"/>
        <v>Science Fiction</v>
      </c>
      <c r="M121">
        <f ca="1"/>
        <v>2020</v>
      </c>
      <c r="N121">
        <f ca="1"/>
        <v>670</v>
      </c>
      <c r="O121">
        <f ca="1"/>
        <v>7</v>
      </c>
      <c r="P121">
        <f ca="1"/>
        <v>44974</v>
      </c>
    </row>
    <row r="122" spans="1:16" x14ac:dyDescent="0.3">
      <c r="A122">
        <f ca="1"/>
        <v>50</v>
      </c>
      <c r="B122" t="str">
        <f ca="1"/>
        <v>The Edge of Shadows</v>
      </c>
      <c r="C122" t="str">
        <f ca="1"/>
        <v>Mila Ross</v>
      </c>
      <c r="D122" t="str">
        <f ca="1"/>
        <v>Thriller</v>
      </c>
      <c r="E122">
        <f ca="1"/>
        <v>2022</v>
      </c>
      <c r="F122">
        <f ca="1"/>
        <v>610.5</v>
      </c>
      <c r="G122">
        <f ca="1"/>
        <v>7</v>
      </c>
      <c r="H122" s="6">
        <f ca="1"/>
        <v>45837</v>
      </c>
      <c r="I122">
        <f ca="1"/>
        <v>23</v>
      </c>
      <c r="J122" t="str">
        <f ca="1"/>
        <v>The Quantum Paradox</v>
      </c>
      <c r="K122" t="str">
        <f ca="1"/>
        <v>Jack Richardson</v>
      </c>
      <c r="L122" t="str">
        <f ca="1"/>
        <v>Science Fiction</v>
      </c>
      <c r="M122">
        <f ca="1"/>
        <v>2021</v>
      </c>
      <c r="N122">
        <f ca="1"/>
        <v>650.75</v>
      </c>
      <c r="O122">
        <f ca="1"/>
        <v>5</v>
      </c>
      <c r="P122">
        <f ca="1"/>
        <v>45689</v>
      </c>
    </row>
    <row r="123" spans="1:16" x14ac:dyDescent="0.3">
      <c r="A123">
        <f ca="1"/>
        <v>101</v>
      </c>
      <c r="B123" t="str">
        <f ca="1"/>
        <v>The Final Dawn</v>
      </c>
      <c r="C123" t="str">
        <f ca="1"/>
        <v>Olivia Scott</v>
      </c>
      <c r="D123" t="str">
        <f ca="1"/>
        <v>Science Fiction</v>
      </c>
      <c r="E123">
        <f ca="1"/>
        <v>2019</v>
      </c>
      <c r="F123">
        <f ca="1"/>
        <v>680</v>
      </c>
      <c r="G123">
        <f ca="1"/>
        <v>7</v>
      </c>
      <c r="H123" s="6">
        <f ca="1"/>
        <v>45614</v>
      </c>
      <c r="I123">
        <f ca="1"/>
        <v>39</v>
      </c>
      <c r="J123" t="str">
        <f ca="1"/>
        <v>The Infinite Circle</v>
      </c>
      <c r="K123" t="str">
        <f ca="1"/>
        <v>Ethan Howard</v>
      </c>
      <c r="L123" t="str">
        <f ca="1"/>
        <v>Science Fiction</v>
      </c>
      <c r="M123">
        <f ca="1"/>
        <v>2020</v>
      </c>
      <c r="N123">
        <f ca="1"/>
        <v>640</v>
      </c>
      <c r="O123">
        <f ca="1"/>
        <v>7</v>
      </c>
      <c r="P123">
        <f ca="1"/>
        <v>44983</v>
      </c>
    </row>
    <row r="124" spans="1:16" x14ac:dyDescent="0.3">
      <c r="A124">
        <f ca="1"/>
        <v>39</v>
      </c>
      <c r="B124" t="str">
        <f ca="1"/>
        <v>The Infinite Circle</v>
      </c>
      <c r="C124" t="str">
        <f ca="1"/>
        <v>Ethan Howard</v>
      </c>
      <c r="D124" t="str">
        <f ca="1"/>
        <v>Science Fiction</v>
      </c>
      <c r="E124">
        <f ca="1"/>
        <v>2020</v>
      </c>
      <c r="F124">
        <f ca="1"/>
        <v>640</v>
      </c>
      <c r="G124">
        <f ca="1"/>
        <v>7</v>
      </c>
      <c r="H124" s="6">
        <f ca="1"/>
        <v>44983</v>
      </c>
      <c r="I124">
        <f ca="1"/>
        <v>15</v>
      </c>
      <c r="J124" t="str">
        <f ca="1"/>
        <v>The Painted Mirror</v>
      </c>
      <c r="K124" t="str">
        <f ca="1"/>
        <v>Logan Ward</v>
      </c>
      <c r="L124" t="str">
        <f ca="1"/>
        <v>Fantasy</v>
      </c>
      <c r="M124">
        <f ca="1"/>
        <v>2022</v>
      </c>
      <c r="N124">
        <f ca="1"/>
        <v>620.75</v>
      </c>
      <c r="O124">
        <f ca="1"/>
        <v>6</v>
      </c>
      <c r="P124">
        <f ca="1"/>
        <v>45717</v>
      </c>
    </row>
    <row r="125" spans="1:16" x14ac:dyDescent="0.3">
      <c r="A125">
        <f ca="1"/>
        <v>7</v>
      </c>
      <c r="B125" t="str">
        <f ca="1"/>
        <v>The Iron Code</v>
      </c>
      <c r="C125" t="str">
        <f ca="1"/>
        <v>Olivia Cooper</v>
      </c>
      <c r="D125" t="str">
        <f ca="1"/>
        <v>Thriller</v>
      </c>
      <c r="E125">
        <f ca="1"/>
        <v>2022</v>
      </c>
      <c r="F125">
        <f ca="1"/>
        <v>610</v>
      </c>
      <c r="G125">
        <f ca="1"/>
        <v>7</v>
      </c>
      <c r="H125" s="6">
        <f ca="1"/>
        <v>44994</v>
      </c>
      <c r="I125">
        <f ca="1"/>
        <v>97</v>
      </c>
      <c r="J125" t="str">
        <f ca="1"/>
        <v>Shadows Over Avalon</v>
      </c>
      <c r="K125" t="str">
        <f ca="1"/>
        <v>Benjamin Hill</v>
      </c>
      <c r="L125" t="str">
        <f ca="1"/>
        <v>Fantasy</v>
      </c>
      <c r="M125">
        <f ca="1"/>
        <v>2021</v>
      </c>
      <c r="N125">
        <f ca="1"/>
        <v>620</v>
      </c>
      <c r="O125">
        <f ca="1"/>
        <v>7</v>
      </c>
      <c r="P125">
        <f ca="1"/>
        <v>46007</v>
      </c>
    </row>
    <row r="126" spans="1:16" x14ac:dyDescent="0.3">
      <c r="A126">
        <f ca="1"/>
        <v>21</v>
      </c>
      <c r="B126" t="str">
        <f ca="1"/>
        <v>Tides of Destiny</v>
      </c>
      <c r="C126" t="str">
        <f ca="1"/>
        <v>Michael Gray</v>
      </c>
      <c r="D126" t="str">
        <f ca="1"/>
        <v>Adventure</v>
      </c>
      <c r="E126">
        <f ca="1"/>
        <v>2020</v>
      </c>
      <c r="F126">
        <f ca="1"/>
        <v>470.2</v>
      </c>
      <c r="G126">
        <f ca="1"/>
        <v>7</v>
      </c>
      <c r="H126" s="6">
        <f ca="1"/>
        <v>44927</v>
      </c>
      <c r="I126">
        <f ca="1"/>
        <v>50</v>
      </c>
      <c r="J126" t="str">
        <f ca="1"/>
        <v>The Edge of Shadows</v>
      </c>
      <c r="K126" t="str">
        <f ca="1"/>
        <v>Mila Ross</v>
      </c>
      <c r="L126" t="str">
        <f ca="1"/>
        <v>Thriller</v>
      </c>
      <c r="M126">
        <f ca="1"/>
        <v>2022</v>
      </c>
      <c r="N126">
        <f ca="1"/>
        <v>610.5</v>
      </c>
      <c r="O126">
        <f ca="1"/>
        <v>7</v>
      </c>
      <c r="P126">
        <f ca="1"/>
        <v>45837</v>
      </c>
    </row>
    <row r="127" spans="1:16" x14ac:dyDescent="0.3">
      <c r="A127">
        <f ca="1"/>
        <v>33</v>
      </c>
      <c r="B127" t="str">
        <f ca="1"/>
        <v>Beyond the Stars</v>
      </c>
      <c r="C127" t="str">
        <f ca="1"/>
        <v>Owen Stewart</v>
      </c>
      <c r="D127" t="str">
        <f ca="1"/>
        <v>Science Fiction</v>
      </c>
      <c r="E127">
        <f ca="1"/>
        <v>2022</v>
      </c>
      <c r="F127">
        <f ca="1"/>
        <v>720</v>
      </c>
      <c r="G127">
        <f ca="1"/>
        <v>8</v>
      </c>
      <c r="H127" s="6">
        <f ca="1"/>
        <v>45245</v>
      </c>
      <c r="I127">
        <f ca="1"/>
        <v>64</v>
      </c>
      <c r="J127" t="str">
        <f ca="1"/>
        <v>Crimson Winter</v>
      </c>
      <c r="K127" t="str">
        <f ca="1"/>
        <v>Noah Scott</v>
      </c>
      <c r="L127" t="str">
        <f ca="1"/>
        <v>Thriller</v>
      </c>
      <c r="M127">
        <f ca="1"/>
        <v>2021</v>
      </c>
      <c r="N127">
        <f ca="1"/>
        <v>610.5</v>
      </c>
      <c r="O127">
        <f ca="1"/>
        <v>8</v>
      </c>
      <c r="P127">
        <f ca="1"/>
        <v>45039</v>
      </c>
    </row>
    <row r="128" spans="1:16" x14ac:dyDescent="0.3">
      <c r="A128">
        <f ca="1"/>
        <v>54</v>
      </c>
      <c r="B128" t="str">
        <f ca="1"/>
        <v>Blood and Ashes</v>
      </c>
      <c r="C128" t="str">
        <f ca="1"/>
        <v>Sienna Reed</v>
      </c>
      <c r="D128" t="str">
        <f ca="1"/>
        <v>Historical Fiction</v>
      </c>
      <c r="E128">
        <f ca="1"/>
        <v>2021</v>
      </c>
      <c r="F128">
        <f ca="1"/>
        <v>490.75</v>
      </c>
      <c r="G128">
        <f ca="1"/>
        <v>8</v>
      </c>
      <c r="H128" s="6">
        <f ca="1"/>
        <v>45550</v>
      </c>
      <c r="I128">
        <f ca="1"/>
        <v>89</v>
      </c>
      <c r="J128" t="str">
        <f ca="1"/>
        <v>The Darkened Path</v>
      </c>
      <c r="K128" t="str">
        <f ca="1"/>
        <v>Ella Mitchell</v>
      </c>
      <c r="L128" t="str">
        <f ca="1"/>
        <v>Thriller</v>
      </c>
      <c r="M128">
        <f ca="1"/>
        <v>2021</v>
      </c>
      <c r="N128">
        <f ca="1"/>
        <v>610.4</v>
      </c>
      <c r="O128">
        <f ca="1"/>
        <v>10</v>
      </c>
      <c r="P128">
        <f ca="1"/>
        <v>44992</v>
      </c>
    </row>
    <row r="129" spans="1:16" x14ac:dyDescent="0.3">
      <c r="A129">
        <f ca="1"/>
        <v>64</v>
      </c>
      <c r="B129" t="str">
        <f ca="1"/>
        <v>Crimson Winter</v>
      </c>
      <c r="C129" t="str">
        <f ca="1"/>
        <v>Noah Scott</v>
      </c>
      <c r="D129" t="str">
        <f ca="1"/>
        <v>Thriller</v>
      </c>
      <c r="E129">
        <f ca="1"/>
        <v>2021</v>
      </c>
      <c r="F129">
        <f ca="1"/>
        <v>610.5</v>
      </c>
      <c r="G129">
        <f ca="1"/>
        <v>8</v>
      </c>
      <c r="H129" s="6">
        <f ca="1"/>
        <v>45039</v>
      </c>
      <c r="I129">
        <f ca="1"/>
        <v>7</v>
      </c>
      <c r="J129" t="str">
        <f ca="1"/>
        <v>The Iron Code</v>
      </c>
      <c r="K129" t="str">
        <f ca="1"/>
        <v>Olivia Cooper</v>
      </c>
      <c r="L129" t="str">
        <f ca="1"/>
        <v>Thriller</v>
      </c>
      <c r="M129">
        <f ca="1"/>
        <v>2022</v>
      </c>
      <c r="N129">
        <f ca="1"/>
        <v>610</v>
      </c>
      <c r="O129">
        <f ca="1"/>
        <v>7</v>
      </c>
      <c r="P129">
        <f ca="1"/>
        <v>44994</v>
      </c>
    </row>
    <row r="130" spans="1:16" x14ac:dyDescent="0.3">
      <c r="A130">
        <f ca="1"/>
        <v>6</v>
      </c>
      <c r="B130" t="str">
        <f ca="1"/>
        <v>Fragments of Light</v>
      </c>
      <c r="C130" t="str">
        <f ca="1"/>
        <v>Ethan Hughes</v>
      </c>
      <c r="D130" t="str">
        <f ca="1"/>
        <v>Drama</v>
      </c>
      <c r="E130">
        <f ca="1"/>
        <v>2015</v>
      </c>
      <c r="F130">
        <f ca="1"/>
        <v>280.39999999999998</v>
      </c>
      <c r="G130">
        <f ca="1"/>
        <v>8</v>
      </c>
      <c r="H130" s="6">
        <f ca="1"/>
        <v>45304</v>
      </c>
      <c r="I130">
        <f ca="1"/>
        <v>80</v>
      </c>
      <c r="J130" t="str">
        <f ca="1"/>
        <v>The Clockwork Heart</v>
      </c>
      <c r="K130" t="str">
        <f ca="1"/>
        <v>Amelia Adams</v>
      </c>
      <c r="L130" t="str">
        <f ca="1"/>
        <v>Steampunk</v>
      </c>
      <c r="M130">
        <f ca="1"/>
        <v>2021</v>
      </c>
      <c r="N130">
        <f ca="1"/>
        <v>610</v>
      </c>
      <c r="O130">
        <f ca="1"/>
        <v>8</v>
      </c>
      <c r="P130">
        <f ca="1"/>
        <v>45268</v>
      </c>
    </row>
    <row r="131" spans="1:16" x14ac:dyDescent="0.3">
      <c r="A131">
        <f ca="1"/>
        <v>70</v>
      </c>
      <c r="B131" t="str">
        <f ca="1"/>
        <v>Rise of the Machines</v>
      </c>
      <c r="C131" t="str">
        <f ca="1"/>
        <v>Jacob Perry</v>
      </c>
      <c r="D131" t="str">
        <f ca="1"/>
        <v>Science Fiction</v>
      </c>
      <c r="E131">
        <f ca="1"/>
        <v>2020</v>
      </c>
      <c r="F131">
        <f ca="1"/>
        <v>720</v>
      </c>
      <c r="G131">
        <f ca="1"/>
        <v>8</v>
      </c>
      <c r="H131" s="6">
        <f ca="1"/>
        <v>45989</v>
      </c>
      <c r="I131">
        <f ca="1"/>
        <v>104</v>
      </c>
      <c r="J131" t="str">
        <f ca="1"/>
        <v>The Glass Kingdom</v>
      </c>
      <c r="K131" t="str">
        <f ca="1"/>
        <v>Isabella Turner</v>
      </c>
      <c r="L131" t="str">
        <f ca="1"/>
        <v>Fantasy</v>
      </c>
      <c r="M131">
        <f ca="1"/>
        <v>2022</v>
      </c>
      <c r="N131">
        <f ca="1"/>
        <v>590.9</v>
      </c>
      <c r="O131">
        <f ca="1"/>
        <v>8</v>
      </c>
      <c r="P131">
        <f ca="1"/>
        <v>45403</v>
      </c>
    </row>
    <row r="132" spans="1:16" x14ac:dyDescent="0.3">
      <c r="A132">
        <f ca="1"/>
        <v>17</v>
      </c>
      <c r="B132" t="str">
        <f ca="1"/>
        <v>Secrets of the Labyrinth</v>
      </c>
      <c r="C132" t="str">
        <f ca="1"/>
        <v>Lucas Hill</v>
      </c>
      <c r="D132" t="str">
        <f ca="1"/>
        <v>Mystery</v>
      </c>
      <c r="E132">
        <f ca="1"/>
        <v>2021</v>
      </c>
      <c r="F132">
        <f ca="1"/>
        <v>510.45</v>
      </c>
      <c r="G132">
        <f ca="1"/>
        <v>8</v>
      </c>
      <c r="H132" s="6">
        <f ca="1"/>
        <v>45898</v>
      </c>
      <c r="I132">
        <f ca="1"/>
        <v>34</v>
      </c>
      <c r="J132" t="str">
        <f ca="1"/>
        <v>The Silent Guardian</v>
      </c>
      <c r="K132" t="str">
        <f ca="1"/>
        <v>Chloe Phillips</v>
      </c>
      <c r="L132" t="str">
        <f ca="1"/>
        <v>Thriller</v>
      </c>
      <c r="M132">
        <f ca="1"/>
        <v>2021</v>
      </c>
      <c r="N132">
        <f ca="1"/>
        <v>590.5</v>
      </c>
      <c r="O132">
        <f ca="1"/>
        <v>11</v>
      </c>
      <c r="P132">
        <f ca="1"/>
        <v>45535</v>
      </c>
    </row>
    <row r="133" spans="1:16" x14ac:dyDescent="0.3">
      <c r="A133">
        <f ca="1"/>
        <v>80</v>
      </c>
      <c r="B133" t="str">
        <f ca="1"/>
        <v>The Clockwork Heart</v>
      </c>
      <c r="C133" t="str">
        <f ca="1"/>
        <v>Amelia Adams</v>
      </c>
      <c r="D133" t="str">
        <f ca="1"/>
        <v>Steampunk</v>
      </c>
      <c r="E133">
        <f ca="1"/>
        <v>2021</v>
      </c>
      <c r="F133">
        <f ca="1"/>
        <v>610</v>
      </c>
      <c r="G133">
        <f ca="1"/>
        <v>8</v>
      </c>
      <c r="H133" s="6">
        <f ca="1"/>
        <v>45268</v>
      </c>
      <c r="I133">
        <f ca="1"/>
        <v>43</v>
      </c>
      <c r="J133" t="str">
        <f ca="1"/>
        <v>Whispers of the Forest</v>
      </c>
      <c r="K133" t="str">
        <f ca="1"/>
        <v>Andrew Morris</v>
      </c>
      <c r="L133" t="str">
        <f ca="1"/>
        <v>Fantasy</v>
      </c>
      <c r="M133">
        <f ca="1"/>
        <v>2022</v>
      </c>
      <c r="N133">
        <f ca="1"/>
        <v>590.25</v>
      </c>
      <c r="O133">
        <f ca="1"/>
        <v>8</v>
      </c>
      <c r="P133">
        <f ca="1"/>
        <v>45806</v>
      </c>
    </row>
    <row r="134" spans="1:16" x14ac:dyDescent="0.3">
      <c r="A134">
        <f ca="1"/>
        <v>98</v>
      </c>
      <c r="B134" t="str">
        <f ca="1"/>
        <v>The Dark Sun</v>
      </c>
      <c r="C134" t="str">
        <f ca="1"/>
        <v>Aiden Lewis</v>
      </c>
      <c r="D134" t="str">
        <f ca="1"/>
        <v>Science Fiction</v>
      </c>
      <c r="E134">
        <f ca="1"/>
        <v>2022</v>
      </c>
      <c r="F134">
        <f ca="1"/>
        <v>700.25</v>
      </c>
      <c r="G134">
        <f ca="1"/>
        <v>8</v>
      </c>
      <c r="H134" s="6">
        <f ca="1"/>
        <v>45617</v>
      </c>
      <c r="I134">
        <f ca="1"/>
        <v>58</v>
      </c>
      <c r="J134" t="str">
        <f ca="1"/>
        <v>City of Smoke</v>
      </c>
      <c r="K134" t="str">
        <f ca="1"/>
        <v>Ella Morris</v>
      </c>
      <c r="L134" t="str">
        <f ca="1"/>
        <v>Fantasy</v>
      </c>
      <c r="M134">
        <f ca="1"/>
        <v>2021</v>
      </c>
      <c r="N134">
        <f ca="1"/>
        <v>590</v>
      </c>
      <c r="O134">
        <f ca="1"/>
        <v>10</v>
      </c>
      <c r="P134">
        <f ca="1"/>
        <v>45532</v>
      </c>
    </row>
    <row r="135" spans="1:16" x14ac:dyDescent="0.3">
      <c r="A135">
        <f ca="1"/>
        <v>104</v>
      </c>
      <c r="B135" t="str">
        <f ca="1"/>
        <v>The Glass Kingdom</v>
      </c>
      <c r="C135" t="str">
        <f ca="1"/>
        <v>Isabella Turner</v>
      </c>
      <c r="D135" t="str">
        <f ca="1"/>
        <v>Fantasy</v>
      </c>
      <c r="E135">
        <f ca="1"/>
        <v>2022</v>
      </c>
      <c r="F135">
        <f ca="1"/>
        <v>590.9</v>
      </c>
      <c r="G135">
        <f ca="1"/>
        <v>8</v>
      </c>
      <c r="H135" s="6">
        <f ca="1"/>
        <v>45403</v>
      </c>
      <c r="I135">
        <f ca="1"/>
        <v>51</v>
      </c>
      <c r="J135" t="str">
        <f ca="1"/>
        <v>Falling Skies</v>
      </c>
      <c r="K135" t="str">
        <f ca="1"/>
        <v>Carter Wright</v>
      </c>
      <c r="L135" t="str">
        <f ca="1"/>
        <v>Science Fiction</v>
      </c>
      <c r="M135">
        <f ca="1"/>
        <v>2018</v>
      </c>
      <c r="N135">
        <f ca="1"/>
        <v>570.9</v>
      </c>
      <c r="O135">
        <f ca="1"/>
        <v>10</v>
      </c>
      <c r="P135">
        <f ca="1"/>
        <v>45487</v>
      </c>
    </row>
    <row r="136" spans="1:16" x14ac:dyDescent="0.3">
      <c r="A136">
        <f ca="1"/>
        <v>38</v>
      </c>
      <c r="B136" t="str">
        <f ca="1"/>
        <v>The Haunting of Willow Lake</v>
      </c>
      <c r="C136" t="str">
        <f ca="1"/>
        <v>Layla Rogers</v>
      </c>
      <c r="D136" t="str">
        <f ca="1"/>
        <v>Horror</v>
      </c>
      <c r="E136">
        <f ca="1"/>
        <v>2016</v>
      </c>
      <c r="F136">
        <f ca="1"/>
        <v>400</v>
      </c>
      <c r="G136">
        <f ca="1"/>
        <v>8</v>
      </c>
      <c r="H136" s="6">
        <f ca="1"/>
        <v>45336</v>
      </c>
      <c r="I136">
        <f ca="1"/>
        <v>87</v>
      </c>
      <c r="J136" t="str">
        <f ca="1"/>
        <v>Dawn of the Phoenix</v>
      </c>
      <c r="K136" t="str">
        <f ca="1"/>
        <v>Chloe Ward</v>
      </c>
      <c r="L136" t="str">
        <f ca="1"/>
        <v>Fantasy</v>
      </c>
      <c r="M136">
        <f ca="1"/>
        <v>2018</v>
      </c>
      <c r="N136">
        <f ca="1"/>
        <v>560.75</v>
      </c>
      <c r="O136">
        <f ca="1"/>
        <v>9</v>
      </c>
      <c r="P136">
        <f ca="1"/>
        <v>46000</v>
      </c>
    </row>
    <row r="137" spans="1:16" x14ac:dyDescent="0.3">
      <c r="A137">
        <f ca="1"/>
        <v>43</v>
      </c>
      <c r="B137" t="str">
        <f ca="1"/>
        <v>Whispers of the Forest</v>
      </c>
      <c r="C137" t="str">
        <f ca="1"/>
        <v>Andrew Morris</v>
      </c>
      <c r="D137" t="str">
        <f ca="1"/>
        <v>Fantasy</v>
      </c>
      <c r="E137">
        <f ca="1"/>
        <v>2022</v>
      </c>
      <c r="F137">
        <f ca="1"/>
        <v>590.25</v>
      </c>
      <c r="G137">
        <f ca="1"/>
        <v>8</v>
      </c>
      <c r="H137" s="6">
        <f ca="1"/>
        <v>45806</v>
      </c>
      <c r="I137">
        <f ca="1"/>
        <v>19</v>
      </c>
      <c r="J137" t="str">
        <f ca="1"/>
        <v>Dreamcatcher’s Oath</v>
      </c>
      <c r="K137" t="str">
        <f ca="1"/>
        <v>Henry Morgan</v>
      </c>
      <c r="L137" t="str">
        <f ca="1"/>
        <v>Fantasy</v>
      </c>
      <c r="M137">
        <f ca="1"/>
        <v>2019</v>
      </c>
      <c r="N137">
        <f ca="1"/>
        <v>560.5</v>
      </c>
      <c r="O137">
        <f ca="1"/>
        <v>10</v>
      </c>
      <c r="P137">
        <f ca="1"/>
        <v>45500</v>
      </c>
    </row>
    <row r="138" spans="1:16" x14ac:dyDescent="0.3">
      <c r="A138">
        <f ca="1"/>
        <v>41</v>
      </c>
      <c r="B138" t="str">
        <f ca="1"/>
        <v>Darkness Rising</v>
      </c>
      <c r="C138" t="str">
        <f ca="1"/>
        <v>Isaac Turner</v>
      </c>
      <c r="D138" t="str">
        <f ca="1"/>
        <v>Horror</v>
      </c>
      <c r="E138">
        <f ca="1"/>
        <v>2019</v>
      </c>
      <c r="F138">
        <f ca="1"/>
        <v>520.75</v>
      </c>
      <c r="G138">
        <f ca="1"/>
        <v>9</v>
      </c>
      <c r="H138" s="6">
        <f ca="1"/>
        <v>45074</v>
      </c>
      <c r="I138">
        <f ca="1"/>
        <v>29</v>
      </c>
      <c r="J138" t="str">
        <f ca="1"/>
        <v>The Neon Horizon</v>
      </c>
      <c r="K138" t="str">
        <f ca="1"/>
        <v>Joseph Adams</v>
      </c>
      <c r="L138" t="str">
        <f ca="1"/>
        <v>Cyberpunk</v>
      </c>
      <c r="M138">
        <f ca="1"/>
        <v>2021</v>
      </c>
      <c r="N138">
        <f ca="1"/>
        <v>550.9</v>
      </c>
      <c r="O138">
        <f ca="1"/>
        <v>6</v>
      </c>
      <c r="P138">
        <f ca="1"/>
        <v>45190</v>
      </c>
    </row>
    <row r="139" spans="1:16" x14ac:dyDescent="0.3">
      <c r="A139">
        <f ca="1"/>
        <v>87</v>
      </c>
      <c r="B139" t="str">
        <f ca="1"/>
        <v>Dawn of the Phoenix</v>
      </c>
      <c r="C139" t="str">
        <f ca="1"/>
        <v>Chloe Ward</v>
      </c>
      <c r="D139" t="str">
        <f ca="1"/>
        <v>Fantasy</v>
      </c>
      <c r="E139">
        <f ca="1"/>
        <v>2018</v>
      </c>
      <c r="F139">
        <f ca="1"/>
        <v>560.75</v>
      </c>
      <c r="G139">
        <f ca="1"/>
        <v>9</v>
      </c>
      <c r="H139" s="6">
        <f ca="1"/>
        <v>46000</v>
      </c>
      <c r="I139">
        <f ca="1"/>
        <v>59</v>
      </c>
      <c r="J139" t="str">
        <f ca="1"/>
        <v>Firestorm</v>
      </c>
      <c r="K139" t="str">
        <f ca="1"/>
        <v>Daniel Collins</v>
      </c>
      <c r="L139" t="str">
        <f ca="1"/>
        <v>Thriller</v>
      </c>
      <c r="M139">
        <f ca="1"/>
        <v>2020</v>
      </c>
      <c r="N139">
        <f ca="1"/>
        <v>550.9</v>
      </c>
      <c r="O139">
        <f ca="1"/>
        <v>9</v>
      </c>
      <c r="P139">
        <f ca="1"/>
        <v>45876</v>
      </c>
    </row>
    <row r="140" spans="1:16" x14ac:dyDescent="0.3">
      <c r="A140">
        <f ca="1"/>
        <v>2</v>
      </c>
      <c r="B140" t="str">
        <f ca="1"/>
        <v>Echoes of Tomorrow</v>
      </c>
      <c r="C140" t="str">
        <f ca="1"/>
        <v>Liam Carter</v>
      </c>
      <c r="D140" t="str">
        <f ca="1"/>
        <v>Science Fiction</v>
      </c>
      <c r="E140">
        <f ca="1"/>
        <v>2020</v>
      </c>
      <c r="F140">
        <f ca="1"/>
        <v>499.5</v>
      </c>
      <c r="G140">
        <f ca="1"/>
        <v>9</v>
      </c>
      <c r="H140" s="6">
        <f ca="1"/>
        <v>45888</v>
      </c>
      <c r="I140">
        <f ca="1"/>
        <v>46</v>
      </c>
      <c r="J140" t="str">
        <f ca="1"/>
        <v>Rise of the Fallen</v>
      </c>
      <c r="K140" t="str">
        <f ca="1"/>
        <v>David Morgan</v>
      </c>
      <c r="L140" t="str">
        <f ca="1"/>
        <v>Fantasy</v>
      </c>
      <c r="M140">
        <f ca="1"/>
        <v>2020</v>
      </c>
      <c r="N140">
        <f ca="1"/>
        <v>550.29999999999995</v>
      </c>
      <c r="O140">
        <f ca="1"/>
        <v>10</v>
      </c>
      <c r="P140">
        <f ca="1"/>
        <v>45786</v>
      </c>
    </row>
    <row r="141" spans="1:16" x14ac:dyDescent="0.3">
      <c r="A141">
        <f ca="1"/>
        <v>59</v>
      </c>
      <c r="B141" t="str">
        <f ca="1"/>
        <v>Firestorm</v>
      </c>
      <c r="C141" t="str">
        <f ca="1"/>
        <v>Daniel Collins</v>
      </c>
      <c r="D141" t="str">
        <f ca="1"/>
        <v>Thriller</v>
      </c>
      <c r="E141">
        <f ca="1"/>
        <v>2020</v>
      </c>
      <c r="F141">
        <f ca="1"/>
        <v>550.9</v>
      </c>
      <c r="G141">
        <f ca="1"/>
        <v>9</v>
      </c>
      <c r="H141" s="6">
        <f ca="1"/>
        <v>45876</v>
      </c>
      <c r="I141">
        <f ca="1"/>
        <v>63</v>
      </c>
      <c r="J141" t="str">
        <f ca="1"/>
        <v>The Secret Heir</v>
      </c>
      <c r="K141" t="str">
        <f ca="1"/>
        <v>Sophia Carter</v>
      </c>
      <c r="L141" t="str">
        <f ca="1"/>
        <v>Fantasy</v>
      </c>
      <c r="M141">
        <f ca="1"/>
        <v>2020</v>
      </c>
      <c r="N141">
        <f ca="1"/>
        <v>540.20000000000005</v>
      </c>
      <c r="O141">
        <f ca="1"/>
        <v>12</v>
      </c>
      <c r="P141">
        <f ca="1"/>
        <v>45627</v>
      </c>
    </row>
    <row r="142" spans="1:16" x14ac:dyDescent="0.3">
      <c r="A142">
        <f ca="1"/>
        <v>103</v>
      </c>
      <c r="B142" t="str">
        <f ca="1"/>
        <v>Journey to Oblivion</v>
      </c>
      <c r="C142" t="str">
        <f ca="1"/>
        <v>Ethan Perry</v>
      </c>
      <c r="D142" t="str">
        <f ca="1"/>
        <v>Adventure</v>
      </c>
      <c r="E142">
        <f ca="1"/>
        <v>2021</v>
      </c>
      <c r="F142">
        <f ca="1"/>
        <v>510</v>
      </c>
      <c r="G142">
        <f ca="1"/>
        <v>9</v>
      </c>
      <c r="H142" s="6">
        <f ca="1"/>
        <v>44971</v>
      </c>
      <c r="I142">
        <f ca="1"/>
        <v>99</v>
      </c>
      <c r="J142" t="str">
        <f ca="1"/>
        <v>The Crimson Queen</v>
      </c>
      <c r="K142" t="str">
        <f ca="1"/>
        <v>Grace Evans</v>
      </c>
      <c r="L142" t="str">
        <f ca="1"/>
        <v>Fantasy</v>
      </c>
      <c r="M142">
        <f ca="1"/>
        <v>2020</v>
      </c>
      <c r="N142">
        <f ca="1"/>
        <v>540</v>
      </c>
      <c r="O142">
        <f ca="1"/>
        <v>9</v>
      </c>
      <c r="P142">
        <f ca="1"/>
        <v>45624</v>
      </c>
    </row>
    <row r="143" spans="1:16" x14ac:dyDescent="0.3">
      <c r="A143">
        <f ca="1"/>
        <v>99</v>
      </c>
      <c r="B143" t="str">
        <f ca="1"/>
        <v>The Crimson Queen</v>
      </c>
      <c r="C143" t="str">
        <f ca="1"/>
        <v>Grace Evans</v>
      </c>
      <c r="D143" t="str">
        <f ca="1"/>
        <v>Fantasy</v>
      </c>
      <c r="E143">
        <f ca="1"/>
        <v>2020</v>
      </c>
      <c r="F143">
        <f ca="1"/>
        <v>540</v>
      </c>
      <c r="G143">
        <f ca="1"/>
        <v>9</v>
      </c>
      <c r="H143" s="6">
        <f ca="1"/>
        <v>45624</v>
      </c>
      <c r="I143">
        <f ca="1"/>
        <v>9</v>
      </c>
      <c r="J143" t="str">
        <f ca="1"/>
        <v>The Forgotten Realm</v>
      </c>
      <c r="K143" t="str">
        <f ca="1"/>
        <v>Mason Adams</v>
      </c>
      <c r="L143" t="str">
        <f ca="1"/>
        <v>Adventure</v>
      </c>
      <c r="M143">
        <f ca="1"/>
        <v>2019</v>
      </c>
      <c r="N143">
        <f ca="1"/>
        <v>540</v>
      </c>
      <c r="O143">
        <f ca="1"/>
        <v>15</v>
      </c>
      <c r="P143">
        <f ca="1"/>
        <v>45119</v>
      </c>
    </row>
    <row r="144" spans="1:16" x14ac:dyDescent="0.3">
      <c r="A144">
        <f ca="1"/>
        <v>83</v>
      </c>
      <c r="B144" t="str">
        <f ca="1"/>
        <v>The Eternal Flame</v>
      </c>
      <c r="C144" t="str">
        <f ca="1"/>
        <v>Olivia Moore</v>
      </c>
      <c r="D144" t="str">
        <f ca="1"/>
        <v>Fantasy</v>
      </c>
      <c r="E144">
        <f ca="1"/>
        <v>2020</v>
      </c>
      <c r="F144">
        <f ca="1"/>
        <v>520.1</v>
      </c>
      <c r="G144">
        <f ca="1"/>
        <v>9</v>
      </c>
      <c r="H144" s="6">
        <f ca="1"/>
        <v>44997</v>
      </c>
      <c r="I144">
        <f ca="1"/>
        <v>78</v>
      </c>
      <c r="J144" t="str">
        <f ca="1"/>
        <v>The Silver Wolf</v>
      </c>
      <c r="K144" t="str">
        <f ca="1"/>
        <v>Sofia Jenkins</v>
      </c>
      <c r="L144" t="str">
        <f ca="1"/>
        <v>Fantasy</v>
      </c>
      <c r="M144">
        <f ca="1"/>
        <v>2019</v>
      </c>
      <c r="N144">
        <f ca="1"/>
        <v>530.25</v>
      </c>
      <c r="O144">
        <f ca="1"/>
        <v>10</v>
      </c>
      <c r="P144">
        <f ca="1"/>
        <v>45348</v>
      </c>
    </row>
    <row r="145" spans="1:16" x14ac:dyDescent="0.3">
      <c r="A145">
        <f ca="1"/>
        <v>71</v>
      </c>
      <c r="B145" t="str">
        <f ca="1"/>
        <v>The Forgotten Path</v>
      </c>
      <c r="C145" t="str">
        <f ca="1"/>
        <v>Ava Gray</v>
      </c>
      <c r="D145" t="str">
        <f ca="1"/>
        <v>Adventure</v>
      </c>
      <c r="E145">
        <f ca="1"/>
        <v>2022</v>
      </c>
      <c r="F145">
        <f ca="1"/>
        <v>510.4</v>
      </c>
      <c r="G145">
        <f ca="1"/>
        <v>9</v>
      </c>
      <c r="H145" s="6">
        <f ca="1"/>
        <v>45276</v>
      </c>
      <c r="I145">
        <f ca="1"/>
        <v>37</v>
      </c>
      <c r="J145" t="str">
        <f ca="1"/>
        <v>Cursed by Fire</v>
      </c>
      <c r="K145" t="str">
        <f ca="1"/>
        <v>Jacob Carter</v>
      </c>
      <c r="L145" t="str">
        <f ca="1"/>
        <v>Fantasy</v>
      </c>
      <c r="M145">
        <f ca="1"/>
        <v>2019</v>
      </c>
      <c r="N145">
        <f ca="1"/>
        <v>530.20000000000005</v>
      </c>
      <c r="O145">
        <f ca="1"/>
        <v>10</v>
      </c>
      <c r="P145">
        <f ca="1"/>
        <v>45658</v>
      </c>
    </row>
    <row r="146" spans="1:16" x14ac:dyDescent="0.3">
      <c r="A146">
        <f ca="1"/>
        <v>95</v>
      </c>
      <c r="B146" t="str">
        <f ca="1"/>
        <v>The Iron Throne</v>
      </c>
      <c r="C146" t="str">
        <f ca="1"/>
        <v>Noah Brooks</v>
      </c>
      <c r="D146" t="str">
        <f ca="1"/>
        <v>Historical Fiction</v>
      </c>
      <c r="E146">
        <f ca="1"/>
        <v>2018</v>
      </c>
      <c r="F146">
        <f ca="1"/>
        <v>480.25</v>
      </c>
      <c r="G146">
        <f ca="1"/>
        <v>9</v>
      </c>
      <c r="H146" s="6">
        <f ca="1"/>
        <v>45187</v>
      </c>
      <c r="I146">
        <f ca="1"/>
        <v>94</v>
      </c>
      <c r="J146" t="str">
        <f ca="1"/>
        <v>The Lost Horizon</v>
      </c>
      <c r="K146" t="str">
        <f ca="1"/>
        <v>Sophia Green</v>
      </c>
      <c r="L146" t="str">
        <f ca="1"/>
        <v>Fantasy</v>
      </c>
      <c r="M146">
        <f ca="1"/>
        <v>2017</v>
      </c>
      <c r="N146">
        <f ca="1"/>
        <v>530.1</v>
      </c>
      <c r="O146">
        <f ca="1"/>
        <v>13</v>
      </c>
      <c r="P146">
        <f ca="1"/>
        <v>45110</v>
      </c>
    </row>
    <row r="147" spans="1:16" x14ac:dyDescent="0.3">
      <c r="A147">
        <f ca="1"/>
        <v>12</v>
      </c>
      <c r="B147" t="str">
        <f ca="1"/>
        <v>The Stolen Horizon</v>
      </c>
      <c r="C147" t="str">
        <f ca="1"/>
        <v>Mia Turner</v>
      </c>
      <c r="D147" t="str">
        <f ca="1"/>
        <v>Adventure</v>
      </c>
      <c r="E147">
        <f ca="1"/>
        <v>2021</v>
      </c>
      <c r="F147">
        <f ca="1"/>
        <v>499.99</v>
      </c>
      <c r="G147">
        <f ca="1"/>
        <v>9</v>
      </c>
      <c r="H147" s="6">
        <f ca="1"/>
        <v>45319</v>
      </c>
      <c r="I147">
        <f ca="1"/>
        <v>41</v>
      </c>
      <c r="J147" t="str">
        <f ca="1"/>
        <v>Darkness Rising</v>
      </c>
      <c r="K147" t="str">
        <f ca="1"/>
        <v>Isaac Turner</v>
      </c>
      <c r="L147" t="str">
        <f ca="1"/>
        <v>Horror</v>
      </c>
      <c r="M147">
        <f ca="1"/>
        <v>2019</v>
      </c>
      <c r="N147">
        <f ca="1"/>
        <v>520.75</v>
      </c>
      <c r="O147">
        <f ca="1"/>
        <v>9</v>
      </c>
      <c r="P147">
        <f ca="1"/>
        <v>45074</v>
      </c>
    </row>
    <row r="148" spans="1:16" x14ac:dyDescent="0.3">
      <c r="A148">
        <f ca="1"/>
        <v>58</v>
      </c>
      <c r="B148" t="str">
        <f ca="1"/>
        <v>City of Smoke</v>
      </c>
      <c r="C148" t="str">
        <f ca="1"/>
        <v>Ella Morris</v>
      </c>
      <c r="D148" t="str">
        <f ca="1"/>
        <v>Fantasy</v>
      </c>
      <c r="E148">
        <f ca="1"/>
        <v>2021</v>
      </c>
      <c r="F148">
        <f ca="1"/>
        <v>590</v>
      </c>
      <c r="G148">
        <f ca="1"/>
        <v>10</v>
      </c>
      <c r="H148" s="6">
        <f ca="1"/>
        <v>45532</v>
      </c>
      <c r="I148">
        <f ca="1"/>
        <v>5</v>
      </c>
      <c r="J148" t="str">
        <f ca="1"/>
        <v>Shadows of Eternity</v>
      </c>
      <c r="K148" t="str">
        <f ca="1"/>
        <v>Emma Clark</v>
      </c>
      <c r="L148" t="str">
        <f ca="1"/>
        <v>Fantasy</v>
      </c>
      <c r="M148">
        <f ca="1"/>
        <v>2021</v>
      </c>
      <c r="N148">
        <f ca="1"/>
        <v>520.75</v>
      </c>
      <c r="O148">
        <f ca="1"/>
        <v>10</v>
      </c>
      <c r="P148">
        <f ca="1"/>
        <v>45454</v>
      </c>
    </row>
    <row r="149" spans="1:16" x14ac:dyDescent="0.3">
      <c r="A149">
        <f ca="1"/>
        <v>37</v>
      </c>
      <c r="B149" t="str">
        <f ca="1"/>
        <v>Cursed by Fire</v>
      </c>
      <c r="C149" t="str">
        <f ca="1"/>
        <v>Jacob Carter</v>
      </c>
      <c r="D149" t="str">
        <f ca="1"/>
        <v>Fantasy</v>
      </c>
      <c r="E149">
        <f ca="1"/>
        <v>2019</v>
      </c>
      <c r="F149">
        <f ca="1"/>
        <v>530.20000000000005</v>
      </c>
      <c r="G149">
        <f ca="1"/>
        <v>10</v>
      </c>
      <c r="H149" s="6">
        <f ca="1"/>
        <v>45658</v>
      </c>
      <c r="I149">
        <f ca="1"/>
        <v>83</v>
      </c>
      <c r="J149" t="str">
        <f ca="1"/>
        <v>The Eternal Flame</v>
      </c>
      <c r="K149" t="str">
        <f ca="1"/>
        <v>Olivia Moore</v>
      </c>
      <c r="L149" t="str">
        <f ca="1"/>
        <v>Fantasy</v>
      </c>
      <c r="M149">
        <f ca="1"/>
        <v>2020</v>
      </c>
      <c r="N149">
        <f ca="1"/>
        <v>520.1</v>
      </c>
      <c r="O149">
        <f ca="1"/>
        <v>9</v>
      </c>
      <c r="P149">
        <f ca="1"/>
        <v>44997</v>
      </c>
    </row>
    <row r="150" spans="1:16" x14ac:dyDescent="0.3">
      <c r="A150">
        <f ca="1"/>
        <v>73</v>
      </c>
      <c r="B150" t="str">
        <f ca="1"/>
        <v>Dark Waters</v>
      </c>
      <c r="C150" t="str">
        <f ca="1"/>
        <v>Emma Scott</v>
      </c>
      <c r="D150" t="str">
        <f ca="1"/>
        <v>Thriller</v>
      </c>
      <c r="E150">
        <f ca="1"/>
        <v>2018</v>
      </c>
      <c r="F150">
        <f ca="1"/>
        <v>380.75</v>
      </c>
      <c r="G150">
        <f ca="1"/>
        <v>10</v>
      </c>
      <c r="H150" s="6">
        <f ca="1"/>
        <v>45972</v>
      </c>
      <c r="I150">
        <f ca="1"/>
        <v>90</v>
      </c>
      <c r="J150" t="str">
        <f ca="1"/>
        <v>Winds of Time</v>
      </c>
      <c r="K150" t="str">
        <f ca="1"/>
        <v>Ava Scott</v>
      </c>
      <c r="L150" t="str">
        <f ca="1"/>
        <v>Fantasy</v>
      </c>
      <c r="M150">
        <f ca="1"/>
        <v>2019</v>
      </c>
      <c r="N150">
        <f ca="1"/>
        <v>520</v>
      </c>
      <c r="O150">
        <f ca="1"/>
        <v>12</v>
      </c>
      <c r="P150">
        <f ca="1"/>
        <v>45670</v>
      </c>
    </row>
    <row r="151" spans="1:16" x14ac:dyDescent="0.3">
      <c r="A151">
        <f ca="1"/>
        <v>19</v>
      </c>
      <c r="B151" t="str">
        <f ca="1"/>
        <v>Dreamcatcher’s Oath</v>
      </c>
      <c r="C151" t="str">
        <f ca="1"/>
        <v>Henry Morgan</v>
      </c>
      <c r="D151" t="str">
        <f ca="1"/>
        <v>Fantasy</v>
      </c>
      <c r="E151">
        <f ca="1"/>
        <v>2019</v>
      </c>
      <c r="F151">
        <f ca="1"/>
        <v>560.5</v>
      </c>
      <c r="G151">
        <f ca="1"/>
        <v>10</v>
      </c>
      <c r="H151" s="6">
        <f ca="1"/>
        <v>45500</v>
      </c>
      <c r="I151">
        <f ca="1"/>
        <v>17</v>
      </c>
      <c r="J151" t="str">
        <f ca="1"/>
        <v>Secrets of the Labyrinth</v>
      </c>
      <c r="K151" t="str">
        <f ca="1"/>
        <v>Lucas Hill</v>
      </c>
      <c r="L151" t="str">
        <f ca="1"/>
        <v>Mystery</v>
      </c>
      <c r="M151">
        <f ca="1"/>
        <v>2021</v>
      </c>
      <c r="N151">
        <f ca="1"/>
        <v>510.45</v>
      </c>
      <c r="O151">
        <f ca="1"/>
        <v>8</v>
      </c>
      <c r="P151">
        <f ca="1"/>
        <v>45898</v>
      </c>
    </row>
    <row r="152" spans="1:16" x14ac:dyDescent="0.3">
      <c r="A152">
        <f ca="1"/>
        <v>51</v>
      </c>
      <c r="B152" t="str">
        <f ca="1"/>
        <v>Falling Skies</v>
      </c>
      <c r="C152" t="str">
        <f ca="1"/>
        <v>Carter Wright</v>
      </c>
      <c r="D152" t="str">
        <f ca="1"/>
        <v>Science Fiction</v>
      </c>
      <c r="E152">
        <f ca="1"/>
        <v>2018</v>
      </c>
      <c r="F152">
        <f ca="1"/>
        <v>570.9</v>
      </c>
      <c r="G152">
        <f ca="1"/>
        <v>10</v>
      </c>
      <c r="H152" s="6">
        <f ca="1"/>
        <v>45487</v>
      </c>
      <c r="I152">
        <f ca="1"/>
        <v>71</v>
      </c>
      <c r="J152" t="str">
        <f ca="1"/>
        <v>The Forgotten Path</v>
      </c>
      <c r="K152" t="str">
        <f ca="1"/>
        <v>Ava Gray</v>
      </c>
      <c r="L152" t="str">
        <f ca="1"/>
        <v>Adventure</v>
      </c>
      <c r="M152">
        <f ca="1"/>
        <v>2022</v>
      </c>
      <c r="N152">
        <f ca="1"/>
        <v>510.4</v>
      </c>
      <c r="O152">
        <f ca="1"/>
        <v>9</v>
      </c>
      <c r="P152">
        <f ca="1"/>
        <v>45276</v>
      </c>
    </row>
    <row r="153" spans="1:16" x14ac:dyDescent="0.3">
      <c r="A153">
        <f ca="1"/>
        <v>46</v>
      </c>
      <c r="B153" t="str">
        <f ca="1"/>
        <v>Rise of the Fallen</v>
      </c>
      <c r="C153" t="str">
        <f ca="1"/>
        <v>David Morgan</v>
      </c>
      <c r="D153" t="str">
        <f ca="1"/>
        <v>Fantasy</v>
      </c>
      <c r="E153">
        <f ca="1"/>
        <v>2020</v>
      </c>
      <c r="F153">
        <f ca="1"/>
        <v>550.29999999999995</v>
      </c>
      <c r="G153">
        <f ca="1"/>
        <v>10</v>
      </c>
      <c r="H153" s="6">
        <f ca="1"/>
        <v>45786</v>
      </c>
      <c r="I153">
        <f ca="1"/>
        <v>103</v>
      </c>
      <c r="J153" t="str">
        <f ca="1"/>
        <v>Journey to Oblivion</v>
      </c>
      <c r="K153" t="str">
        <f ca="1"/>
        <v>Ethan Perry</v>
      </c>
      <c r="L153" t="str">
        <f ca="1"/>
        <v>Adventure</v>
      </c>
      <c r="M153">
        <f ca="1"/>
        <v>2021</v>
      </c>
      <c r="N153">
        <f ca="1"/>
        <v>510</v>
      </c>
      <c r="O153">
        <f ca="1"/>
        <v>9</v>
      </c>
      <c r="P153">
        <f ca="1"/>
        <v>44971</v>
      </c>
    </row>
    <row r="154" spans="1:16" x14ac:dyDescent="0.3">
      <c r="A154">
        <f ca="1"/>
        <v>5</v>
      </c>
      <c r="B154" t="str">
        <f ca="1"/>
        <v>Shadows of Eternity</v>
      </c>
      <c r="C154" t="str">
        <f ca="1"/>
        <v>Emma Clark</v>
      </c>
      <c r="D154" t="str">
        <f ca="1"/>
        <v>Fantasy</v>
      </c>
      <c r="E154">
        <f ca="1"/>
        <v>2021</v>
      </c>
      <c r="F154">
        <f ca="1"/>
        <v>520.75</v>
      </c>
      <c r="G154">
        <f ca="1"/>
        <v>10</v>
      </c>
      <c r="H154" s="6">
        <f ca="1"/>
        <v>45454</v>
      </c>
      <c r="I154">
        <f ca="1"/>
        <v>96</v>
      </c>
      <c r="J154" t="str">
        <f ca="1"/>
        <v>The Silver Compass</v>
      </c>
      <c r="K154" t="str">
        <f ca="1"/>
        <v>Emma Foster</v>
      </c>
      <c r="L154" t="str">
        <f ca="1"/>
        <v>Adventure</v>
      </c>
      <c r="M154">
        <f ca="1"/>
        <v>2019</v>
      </c>
      <c r="N154">
        <f ca="1"/>
        <v>510</v>
      </c>
      <c r="O154">
        <f ca="1"/>
        <v>15</v>
      </c>
      <c r="P154">
        <f ca="1"/>
        <v>45580</v>
      </c>
    </row>
    <row r="155" spans="1:16" x14ac:dyDescent="0.3">
      <c r="A155">
        <f ca="1"/>
        <v>89</v>
      </c>
      <c r="B155" t="str">
        <f ca="1"/>
        <v>The Darkened Path</v>
      </c>
      <c r="C155" t="str">
        <f ca="1"/>
        <v>Ella Mitchell</v>
      </c>
      <c r="D155" t="str">
        <f ca="1"/>
        <v>Thriller</v>
      </c>
      <c r="E155">
        <f ca="1"/>
        <v>2021</v>
      </c>
      <c r="F155">
        <f ca="1"/>
        <v>610.4</v>
      </c>
      <c r="G155">
        <f ca="1"/>
        <v>10</v>
      </c>
      <c r="H155" s="6">
        <f ca="1"/>
        <v>44992</v>
      </c>
      <c r="I155">
        <f ca="1"/>
        <v>88</v>
      </c>
      <c r="J155" t="str">
        <f ca="1"/>
        <v>Fallen Kingdom</v>
      </c>
      <c r="K155" t="str">
        <f ca="1"/>
        <v>Logan Parker</v>
      </c>
      <c r="L155" t="str">
        <f ca="1"/>
        <v>Adventure</v>
      </c>
      <c r="M155">
        <f ca="1"/>
        <v>2020</v>
      </c>
      <c r="N155">
        <f ca="1"/>
        <v>500.3</v>
      </c>
      <c r="O155">
        <f ca="1"/>
        <v>14</v>
      </c>
      <c r="P155">
        <f ca="1"/>
        <v>45137</v>
      </c>
    </row>
    <row r="156" spans="1:16" x14ac:dyDescent="0.3">
      <c r="A156">
        <f ca="1"/>
        <v>26</v>
      </c>
      <c r="B156" t="str">
        <f ca="1"/>
        <v>The Golden Compass</v>
      </c>
      <c r="C156" t="str">
        <f ca="1"/>
        <v>Ella Foster</v>
      </c>
      <c r="D156" t="str">
        <f ca="1"/>
        <v>Fantasy</v>
      </c>
      <c r="E156">
        <f ca="1"/>
        <v>2019</v>
      </c>
      <c r="F156">
        <f ca="1"/>
        <v>490.25</v>
      </c>
      <c r="G156">
        <f ca="1"/>
        <v>10</v>
      </c>
      <c r="H156" s="6">
        <f ca="1"/>
        <v>45595</v>
      </c>
      <c r="I156">
        <f ca="1"/>
        <v>60</v>
      </c>
      <c r="J156" t="str">
        <f ca="1"/>
        <v>The Last Odyssey</v>
      </c>
      <c r="K156" t="str">
        <f ca="1"/>
        <v>Olivia Gray</v>
      </c>
      <c r="L156" t="str">
        <f ca="1"/>
        <v>Adventure</v>
      </c>
      <c r="M156">
        <f ca="1"/>
        <v>2019</v>
      </c>
      <c r="N156">
        <f ca="1"/>
        <v>500.3</v>
      </c>
      <c r="O156">
        <f ca="1"/>
        <v>14</v>
      </c>
      <c r="P156">
        <f ca="1"/>
        <v>45344</v>
      </c>
    </row>
    <row r="157" spans="1:16" x14ac:dyDescent="0.3">
      <c r="A157">
        <f ca="1"/>
        <v>78</v>
      </c>
      <c r="B157" t="str">
        <f ca="1"/>
        <v>The Silver Wolf</v>
      </c>
      <c r="C157" t="str">
        <f ca="1"/>
        <v>Sofia Jenkins</v>
      </c>
      <c r="D157" t="str">
        <f ca="1"/>
        <v>Fantasy</v>
      </c>
      <c r="E157">
        <f ca="1"/>
        <v>2019</v>
      </c>
      <c r="F157">
        <f ca="1"/>
        <v>530.25</v>
      </c>
      <c r="G157">
        <f ca="1"/>
        <v>10</v>
      </c>
      <c r="H157" s="6">
        <f ca="1"/>
        <v>45348</v>
      </c>
      <c r="I157">
        <f ca="1"/>
        <v>12</v>
      </c>
      <c r="J157" t="str">
        <f ca="1"/>
        <v>The Stolen Horizon</v>
      </c>
      <c r="K157" t="str">
        <f ca="1"/>
        <v>Mia Turner</v>
      </c>
      <c r="L157" t="str">
        <f ca="1"/>
        <v>Adventure</v>
      </c>
      <c r="M157">
        <f ca="1"/>
        <v>2021</v>
      </c>
      <c r="N157">
        <f ca="1"/>
        <v>499.99</v>
      </c>
      <c r="O157">
        <f ca="1"/>
        <v>9</v>
      </c>
      <c r="P157">
        <f ca="1"/>
        <v>45319</v>
      </c>
    </row>
    <row r="158" spans="1:16" x14ac:dyDescent="0.3">
      <c r="A158">
        <f ca="1"/>
        <v>11</v>
      </c>
      <c r="B158" t="str">
        <f ca="1"/>
        <v>City of Broken Dreams</v>
      </c>
      <c r="C158" t="str">
        <f ca="1"/>
        <v>James Lewis</v>
      </c>
      <c r="D158" t="str">
        <f ca="1"/>
        <v>Drama</v>
      </c>
      <c r="E158">
        <f ca="1"/>
        <v>2020</v>
      </c>
      <c r="F158">
        <f ca="1"/>
        <v>350</v>
      </c>
      <c r="G158">
        <f ca="1"/>
        <v>11</v>
      </c>
      <c r="H158" s="6">
        <f ca="1"/>
        <v>45645</v>
      </c>
      <c r="I158">
        <f ca="1"/>
        <v>2</v>
      </c>
      <c r="J158" t="str">
        <f ca="1"/>
        <v>Echoes of Tomorrow</v>
      </c>
      <c r="K158" t="str">
        <f ca="1"/>
        <v>Liam Carter</v>
      </c>
      <c r="L158" t="str">
        <f ca="1"/>
        <v>Science Fiction</v>
      </c>
      <c r="M158">
        <f ca="1"/>
        <v>2020</v>
      </c>
      <c r="N158">
        <f ca="1"/>
        <v>499.5</v>
      </c>
      <c r="O158">
        <f ca="1"/>
        <v>9</v>
      </c>
      <c r="P158">
        <f ca="1"/>
        <v>45888</v>
      </c>
    </row>
    <row r="159" spans="1:16" x14ac:dyDescent="0.3">
      <c r="A159">
        <f ca="1"/>
        <v>93</v>
      </c>
      <c r="B159" t="str">
        <f ca="1"/>
        <v>Echo of the Storm</v>
      </c>
      <c r="C159" t="str">
        <f ca="1"/>
        <v>Henry Carter</v>
      </c>
      <c r="D159" t="str">
        <f ca="1"/>
        <v>Adventure</v>
      </c>
      <c r="E159">
        <f ca="1"/>
        <v>2020</v>
      </c>
      <c r="F159">
        <f ca="1"/>
        <v>470.25</v>
      </c>
      <c r="G159">
        <f ca="1"/>
        <v>11</v>
      </c>
      <c r="H159" s="6">
        <f ca="1"/>
        <v>45869</v>
      </c>
      <c r="I159">
        <f ca="1"/>
        <v>54</v>
      </c>
      <c r="J159" t="str">
        <f ca="1"/>
        <v>Blood and Ashes</v>
      </c>
      <c r="K159" t="str">
        <f ca="1"/>
        <v>Sienna Reed</v>
      </c>
      <c r="L159" t="str">
        <f ca="1"/>
        <v>Historical Fiction</v>
      </c>
      <c r="M159">
        <f ca="1"/>
        <v>2021</v>
      </c>
      <c r="N159">
        <f ca="1"/>
        <v>490.75</v>
      </c>
      <c r="O159">
        <f ca="1"/>
        <v>8</v>
      </c>
      <c r="P159">
        <f ca="1"/>
        <v>45550</v>
      </c>
    </row>
    <row r="160" spans="1:16" x14ac:dyDescent="0.3">
      <c r="A160">
        <f ca="1"/>
        <v>76</v>
      </c>
      <c r="B160" t="str">
        <f ca="1"/>
        <v>The Hidden Truth</v>
      </c>
      <c r="C160" t="str">
        <f ca="1"/>
        <v>Lucas Allen</v>
      </c>
      <c r="D160" t="str">
        <f ca="1"/>
        <v>Mystery</v>
      </c>
      <c r="E160">
        <f ca="1"/>
        <v>2020</v>
      </c>
      <c r="F160">
        <f ca="1"/>
        <v>420</v>
      </c>
      <c r="G160">
        <f ca="1"/>
        <v>11</v>
      </c>
      <c r="H160" s="6">
        <f ca="1"/>
        <v>44955</v>
      </c>
      <c r="I160">
        <f ca="1"/>
        <v>26</v>
      </c>
      <c r="J160" t="str">
        <f ca="1"/>
        <v>The Golden Compass</v>
      </c>
      <c r="K160" t="str">
        <f ca="1"/>
        <v>Ella Foster</v>
      </c>
      <c r="L160" t="str">
        <f ca="1"/>
        <v>Fantasy</v>
      </c>
      <c r="M160">
        <f ca="1"/>
        <v>2019</v>
      </c>
      <c r="N160">
        <f ca="1"/>
        <v>490.25</v>
      </c>
      <c r="O160">
        <f ca="1"/>
        <v>10</v>
      </c>
      <c r="P160">
        <f ca="1"/>
        <v>45595</v>
      </c>
    </row>
    <row r="161" spans="1:16" x14ac:dyDescent="0.3">
      <c r="A161">
        <f ca="1"/>
        <v>42</v>
      </c>
      <c r="B161" t="str">
        <f ca="1"/>
        <v>The Red Horizon</v>
      </c>
      <c r="C161" t="str">
        <f ca="1"/>
        <v>Madison Young</v>
      </c>
      <c r="D161" t="str">
        <f ca="1"/>
        <v>Adventure</v>
      </c>
      <c r="E161">
        <f ca="1"/>
        <v>2020</v>
      </c>
      <c r="F161">
        <f ca="1"/>
        <v>410</v>
      </c>
      <c r="G161">
        <f ca="1"/>
        <v>11</v>
      </c>
      <c r="H161" s="6">
        <f ca="1"/>
        <v>45327</v>
      </c>
      <c r="I161">
        <f ca="1"/>
        <v>100</v>
      </c>
      <c r="J161" t="str">
        <f ca="1"/>
        <v>The Lost Empire</v>
      </c>
      <c r="K161" t="str">
        <f ca="1"/>
        <v>Liam Allen</v>
      </c>
      <c r="L161" t="str">
        <f ca="1"/>
        <v>Adventure</v>
      </c>
      <c r="M161">
        <f ca="1"/>
        <v>2018</v>
      </c>
      <c r="N161">
        <f ca="1"/>
        <v>490.25</v>
      </c>
      <c r="O161">
        <f ca="1"/>
        <v>14</v>
      </c>
      <c r="P161">
        <f ca="1"/>
        <v>45730</v>
      </c>
    </row>
    <row r="162" spans="1:16" x14ac:dyDescent="0.3">
      <c r="A162">
        <f ca="1"/>
        <v>86</v>
      </c>
      <c r="B162" t="str">
        <f ca="1"/>
        <v>The Scarlet Blade</v>
      </c>
      <c r="C162" t="str">
        <f ca="1"/>
        <v>Benjamin Hughes</v>
      </c>
      <c r="D162" t="str">
        <f ca="1"/>
        <v>Historical Fiction</v>
      </c>
      <c r="E162">
        <f ca="1"/>
        <v>2022</v>
      </c>
      <c r="F162">
        <f ca="1"/>
        <v>490</v>
      </c>
      <c r="G162">
        <f ca="1"/>
        <v>11</v>
      </c>
      <c r="H162" s="6">
        <f ca="1"/>
        <v>45826</v>
      </c>
      <c r="I162">
        <f ca="1"/>
        <v>48</v>
      </c>
      <c r="J162" t="str">
        <f ca="1"/>
        <v>Winds of the West</v>
      </c>
      <c r="K162" t="str">
        <f ca="1"/>
        <v>Grace Adams</v>
      </c>
      <c r="L162" t="str">
        <f ca="1"/>
        <v>Historical Fiction</v>
      </c>
      <c r="M162">
        <f ca="1"/>
        <v>2018</v>
      </c>
      <c r="N162">
        <f ca="1"/>
        <v>490.2</v>
      </c>
      <c r="O162">
        <f ca="1"/>
        <v>13</v>
      </c>
      <c r="P162">
        <f ca="1"/>
        <v>45231</v>
      </c>
    </row>
    <row r="163" spans="1:16" x14ac:dyDescent="0.3">
      <c r="A163">
        <f ca="1"/>
        <v>34</v>
      </c>
      <c r="B163" t="str">
        <f ca="1"/>
        <v>The Silent Guardian</v>
      </c>
      <c r="C163" t="str">
        <f ca="1"/>
        <v>Chloe Phillips</v>
      </c>
      <c r="D163" t="str">
        <f ca="1"/>
        <v>Thriller</v>
      </c>
      <c r="E163">
        <f ca="1"/>
        <v>2021</v>
      </c>
      <c r="F163">
        <f ca="1"/>
        <v>590.5</v>
      </c>
      <c r="G163">
        <f ca="1"/>
        <v>11</v>
      </c>
      <c r="H163" s="6">
        <f ca="1"/>
        <v>45535</v>
      </c>
      <c r="I163">
        <f ca="1"/>
        <v>74</v>
      </c>
      <c r="J163" t="str">
        <f ca="1"/>
        <v>The Crystal Kingdom</v>
      </c>
      <c r="K163" t="str">
        <f ca="1"/>
        <v>Liam Cooper</v>
      </c>
      <c r="L163" t="str">
        <f ca="1"/>
        <v>Fantasy</v>
      </c>
      <c r="M163">
        <f ca="1"/>
        <v>2019</v>
      </c>
      <c r="N163">
        <f ca="1"/>
        <v>490.1</v>
      </c>
      <c r="O163">
        <f ca="1"/>
        <v>13</v>
      </c>
      <c r="P163">
        <f ca="1"/>
        <v>45076</v>
      </c>
    </row>
    <row r="164" spans="1:16" x14ac:dyDescent="0.3">
      <c r="A164">
        <f ca="1"/>
        <v>63</v>
      </c>
      <c r="B164" t="str">
        <f ca="1"/>
        <v>The Secret Heir</v>
      </c>
      <c r="C164" t="str">
        <f ca="1"/>
        <v>Sophia Carter</v>
      </c>
      <c r="D164" t="str">
        <f ca="1"/>
        <v>Fantasy</v>
      </c>
      <c r="E164">
        <f ca="1"/>
        <v>2020</v>
      </c>
      <c r="F164">
        <f ca="1"/>
        <v>540.20000000000005</v>
      </c>
      <c r="G164">
        <f ca="1"/>
        <v>12</v>
      </c>
      <c r="H164" s="6">
        <f ca="1"/>
        <v>45627</v>
      </c>
      <c r="I164">
        <f ca="1"/>
        <v>86</v>
      </c>
      <c r="J164" t="str">
        <f ca="1"/>
        <v>The Scarlet Blade</v>
      </c>
      <c r="K164" t="str">
        <f ca="1"/>
        <v>Benjamin Hughes</v>
      </c>
      <c r="L164" t="str">
        <f ca="1"/>
        <v>Historical Fiction</v>
      </c>
      <c r="M164">
        <f ca="1"/>
        <v>2022</v>
      </c>
      <c r="N164">
        <f ca="1"/>
        <v>490</v>
      </c>
      <c r="O164">
        <f ca="1"/>
        <v>11</v>
      </c>
      <c r="P164">
        <f ca="1"/>
        <v>45826</v>
      </c>
    </row>
    <row r="165" spans="1:16" x14ac:dyDescent="0.3">
      <c r="A165">
        <f ca="1"/>
        <v>1</v>
      </c>
      <c r="B165" t="str">
        <f ca="1"/>
        <v>The Silent River</v>
      </c>
      <c r="C165" t="str">
        <f ca="1"/>
        <v>Ava Thompson</v>
      </c>
      <c r="D165" t="str">
        <f ca="1"/>
        <v>Mystery</v>
      </c>
      <c r="E165">
        <f ca="1"/>
        <v>2018</v>
      </c>
      <c r="F165">
        <f ca="1"/>
        <v>399.99</v>
      </c>
      <c r="G165">
        <f ca="1"/>
        <v>12</v>
      </c>
      <c r="H165" s="6">
        <f ca="1"/>
        <v>45167</v>
      </c>
      <c r="I165">
        <f ca="1"/>
        <v>31</v>
      </c>
      <c r="J165" t="str">
        <f ca="1"/>
        <v>The Lost City</v>
      </c>
      <c r="K165" t="str">
        <f ca="1"/>
        <v>Samuel Harris</v>
      </c>
      <c r="L165" t="str">
        <f ca="1"/>
        <v>Adventure</v>
      </c>
      <c r="M165">
        <f ca="1"/>
        <v>2018</v>
      </c>
      <c r="N165">
        <f ca="1"/>
        <v>480.6</v>
      </c>
      <c r="O165">
        <f ca="1"/>
        <v>17</v>
      </c>
      <c r="P165">
        <f ca="1"/>
        <v>45217</v>
      </c>
    </row>
    <row r="166" spans="1:16" x14ac:dyDescent="0.3">
      <c r="A166">
        <f ca="1"/>
        <v>53</v>
      </c>
      <c r="B166" t="str">
        <f ca="1"/>
        <v>The Wandering Soul</v>
      </c>
      <c r="C166" t="str">
        <f ca="1"/>
        <v>Nathan Mitchell</v>
      </c>
      <c r="D166" t="str">
        <f ca="1"/>
        <v>Fantasy</v>
      </c>
      <c r="E166">
        <f ca="1"/>
        <v>2020</v>
      </c>
      <c r="F166">
        <f ca="1"/>
        <v>460.5</v>
      </c>
      <c r="G166">
        <f ca="1"/>
        <v>12</v>
      </c>
      <c r="H166" s="6">
        <f ca="1"/>
        <v>45943</v>
      </c>
      <c r="I166">
        <f ca="1"/>
        <v>77</v>
      </c>
      <c r="J166" t="str">
        <f ca="1"/>
        <v>The Burning Sky</v>
      </c>
      <c r="K166" t="str">
        <f ca="1"/>
        <v>Mason Ross</v>
      </c>
      <c r="L166" t="str">
        <f ca="1"/>
        <v>Adventure</v>
      </c>
      <c r="M166">
        <f ca="1"/>
        <v>2018</v>
      </c>
      <c r="N166">
        <f ca="1"/>
        <v>480.5</v>
      </c>
      <c r="O166">
        <f ca="1"/>
        <v>16</v>
      </c>
      <c r="P166">
        <f ca="1"/>
        <v>45531</v>
      </c>
    </row>
    <row r="167" spans="1:16" x14ac:dyDescent="0.3">
      <c r="A167">
        <f ca="1"/>
        <v>20</v>
      </c>
      <c r="B167" t="str">
        <f ca="1"/>
        <v>Voices from the Deep</v>
      </c>
      <c r="C167" t="str">
        <f ca="1"/>
        <v>Evelyn James</v>
      </c>
      <c r="D167" t="str">
        <f ca="1"/>
        <v>Horror</v>
      </c>
      <c r="E167">
        <f ca="1"/>
        <v>2018</v>
      </c>
      <c r="F167">
        <f ca="1"/>
        <v>390</v>
      </c>
      <c r="G167">
        <f ca="1"/>
        <v>12</v>
      </c>
      <c r="H167" s="6">
        <f ca="1"/>
        <v>45408</v>
      </c>
      <c r="I167">
        <f ca="1"/>
        <v>95</v>
      </c>
      <c r="J167" t="str">
        <f ca="1"/>
        <v>The Iron Throne</v>
      </c>
      <c r="K167" t="str">
        <f ca="1"/>
        <v>Noah Brooks</v>
      </c>
      <c r="L167" t="str">
        <f ca="1"/>
        <v>Historical Fiction</v>
      </c>
      <c r="M167">
        <f ca="1"/>
        <v>2018</v>
      </c>
      <c r="N167">
        <f ca="1"/>
        <v>480.25</v>
      </c>
      <c r="O167">
        <f ca="1"/>
        <v>9</v>
      </c>
      <c r="P167">
        <f ca="1"/>
        <v>45187</v>
      </c>
    </row>
    <row r="168" spans="1:16" x14ac:dyDescent="0.3">
      <c r="A168">
        <f ca="1"/>
        <v>82</v>
      </c>
      <c r="B168" t="str">
        <f ca="1"/>
        <v>Whispering Shadows</v>
      </c>
      <c r="C168" t="str">
        <f ca="1"/>
        <v>Avery Lewis</v>
      </c>
      <c r="D168" t="str">
        <f ca="1"/>
        <v>Thriller</v>
      </c>
      <c r="E168">
        <f ca="1"/>
        <v>2019</v>
      </c>
      <c r="F168">
        <f ca="1"/>
        <v>400</v>
      </c>
      <c r="G168">
        <f ca="1"/>
        <v>12</v>
      </c>
      <c r="H168" s="6">
        <f ca="1"/>
        <v>45959</v>
      </c>
      <c r="I168">
        <f ca="1"/>
        <v>65</v>
      </c>
      <c r="J168" t="str">
        <f ca="1"/>
        <v>Under the Scarlet Sky</v>
      </c>
      <c r="K168" t="str">
        <f ca="1"/>
        <v>Mia Walker</v>
      </c>
      <c r="L168" t="str">
        <f ca="1"/>
        <v>Historical Fiction</v>
      </c>
      <c r="M168">
        <f ca="1"/>
        <v>2018</v>
      </c>
      <c r="N168">
        <f ca="1"/>
        <v>480.25</v>
      </c>
      <c r="O168">
        <f ca="1"/>
        <v>13</v>
      </c>
      <c r="P168">
        <f ca="1"/>
        <v>45337</v>
      </c>
    </row>
    <row r="169" spans="1:16" x14ac:dyDescent="0.3">
      <c r="A169">
        <f ca="1"/>
        <v>90</v>
      </c>
      <c r="B169" t="str">
        <f ca="1"/>
        <v>Winds of Time</v>
      </c>
      <c r="C169" t="str">
        <f ca="1"/>
        <v>Ava Scott</v>
      </c>
      <c r="D169" t="str">
        <f ca="1"/>
        <v>Fantasy</v>
      </c>
      <c r="E169">
        <f ca="1"/>
        <v>2019</v>
      </c>
      <c r="F169">
        <f ca="1"/>
        <v>520</v>
      </c>
      <c r="G169">
        <f ca="1"/>
        <v>12</v>
      </c>
      <c r="H169" s="6">
        <f ca="1"/>
        <v>45670</v>
      </c>
      <c r="I169">
        <f ca="1"/>
        <v>57</v>
      </c>
      <c r="J169" t="str">
        <f ca="1"/>
        <v>The Hidden Fortress</v>
      </c>
      <c r="K169" t="str">
        <f ca="1"/>
        <v>Mason Bennett</v>
      </c>
      <c r="L169" t="str">
        <f ca="1"/>
        <v>Adventure</v>
      </c>
      <c r="M169">
        <f ca="1"/>
        <v>2017</v>
      </c>
      <c r="N169">
        <f ca="1"/>
        <v>470.6</v>
      </c>
      <c r="O169">
        <f ca="1"/>
        <v>18</v>
      </c>
      <c r="P169">
        <f ca="1"/>
        <v>45918</v>
      </c>
    </row>
    <row r="170" spans="1:16" x14ac:dyDescent="0.3">
      <c r="A170">
        <f ca="1"/>
        <v>24</v>
      </c>
      <c r="B170" t="str">
        <f ca="1"/>
        <v>Beneath the Ice</v>
      </c>
      <c r="C170" t="str">
        <f ca="1"/>
        <v>Scarlett Ward</v>
      </c>
      <c r="D170" t="str">
        <f ca="1"/>
        <v>Thriller</v>
      </c>
      <c r="E170">
        <f ca="1"/>
        <v>2018</v>
      </c>
      <c r="F170">
        <f ca="1"/>
        <v>410.9</v>
      </c>
      <c r="G170">
        <f ca="1"/>
        <v>13</v>
      </c>
      <c r="H170" s="6">
        <f ca="1"/>
        <v>45755</v>
      </c>
      <c r="I170">
        <f ca="1"/>
        <v>93</v>
      </c>
      <c r="J170" t="str">
        <f ca="1"/>
        <v>Echo of the Storm</v>
      </c>
      <c r="K170" t="str">
        <f ca="1"/>
        <v>Henry Carter</v>
      </c>
      <c r="L170" t="str">
        <f ca="1"/>
        <v>Adventure</v>
      </c>
      <c r="M170">
        <f ca="1"/>
        <v>2020</v>
      </c>
      <c r="N170">
        <f ca="1"/>
        <v>470.25</v>
      </c>
      <c r="O170">
        <f ca="1"/>
        <v>11</v>
      </c>
      <c r="P170">
        <f ca="1"/>
        <v>45869</v>
      </c>
    </row>
    <row r="171" spans="1:16" x14ac:dyDescent="0.3">
      <c r="A171">
        <f ca="1"/>
        <v>74</v>
      </c>
      <c r="B171" t="str">
        <f ca="1"/>
        <v>The Crystal Kingdom</v>
      </c>
      <c r="C171" t="str">
        <f ca="1"/>
        <v>Liam Cooper</v>
      </c>
      <c r="D171" t="str">
        <f ca="1"/>
        <v>Fantasy</v>
      </c>
      <c r="E171">
        <f ca="1"/>
        <v>2019</v>
      </c>
      <c r="F171">
        <f ca="1"/>
        <v>490.1</v>
      </c>
      <c r="G171">
        <f ca="1"/>
        <v>13</v>
      </c>
      <c r="H171" s="6">
        <f ca="1"/>
        <v>45076</v>
      </c>
      <c r="I171">
        <f ca="1"/>
        <v>81</v>
      </c>
      <c r="J171" t="str">
        <f ca="1"/>
        <v>Under the Midnight Sun</v>
      </c>
      <c r="K171" t="str">
        <f ca="1"/>
        <v>Michael Brown</v>
      </c>
      <c r="L171" t="str">
        <f ca="1"/>
        <v>Historical Fiction</v>
      </c>
      <c r="M171">
        <f ca="1"/>
        <v>2018</v>
      </c>
      <c r="N171">
        <f ca="1"/>
        <v>470.25</v>
      </c>
      <c r="O171">
        <f ca="1"/>
        <v>14</v>
      </c>
      <c r="P171">
        <f ca="1"/>
        <v>45450</v>
      </c>
    </row>
    <row r="172" spans="1:16" x14ac:dyDescent="0.3">
      <c r="A172">
        <f ca="1"/>
        <v>94</v>
      </c>
      <c r="B172" t="str">
        <f ca="1"/>
        <v>The Lost Horizon</v>
      </c>
      <c r="C172" t="str">
        <f ca="1"/>
        <v>Sophia Green</v>
      </c>
      <c r="D172" t="str">
        <f ca="1"/>
        <v>Fantasy</v>
      </c>
      <c r="E172">
        <f ca="1"/>
        <v>2017</v>
      </c>
      <c r="F172">
        <f ca="1"/>
        <v>530.1</v>
      </c>
      <c r="G172">
        <f ca="1"/>
        <v>13</v>
      </c>
      <c r="H172" s="6">
        <f ca="1"/>
        <v>45110</v>
      </c>
      <c r="I172">
        <f ca="1"/>
        <v>21</v>
      </c>
      <c r="J172" t="str">
        <f ca="1"/>
        <v>Tides of Destiny</v>
      </c>
      <c r="K172" t="str">
        <f ca="1"/>
        <v>Michael Gray</v>
      </c>
      <c r="L172" t="str">
        <f ca="1"/>
        <v>Adventure</v>
      </c>
      <c r="M172">
        <f ca="1"/>
        <v>2020</v>
      </c>
      <c r="N172">
        <f ca="1"/>
        <v>470.2</v>
      </c>
      <c r="O172">
        <f ca="1"/>
        <v>7</v>
      </c>
      <c r="P172">
        <f ca="1"/>
        <v>44927</v>
      </c>
    </row>
    <row r="173" spans="1:16" x14ac:dyDescent="0.3">
      <c r="A173">
        <f ca="1"/>
        <v>30</v>
      </c>
      <c r="B173" t="str">
        <f ca="1"/>
        <v>The Winter’s Crown</v>
      </c>
      <c r="C173" t="str">
        <f ca="1"/>
        <v>Victoria Hall</v>
      </c>
      <c r="D173" t="str">
        <f ca="1"/>
        <v>Historical Fiction</v>
      </c>
      <c r="E173">
        <f ca="1"/>
        <v>2016</v>
      </c>
      <c r="F173">
        <f ca="1"/>
        <v>460.25</v>
      </c>
      <c r="G173">
        <f ca="1"/>
        <v>13</v>
      </c>
      <c r="H173" s="6">
        <f ca="1"/>
        <v>45699</v>
      </c>
      <c r="I173">
        <f ca="1"/>
        <v>36</v>
      </c>
      <c r="J173" t="str">
        <f ca="1"/>
        <v>The Broken Spell</v>
      </c>
      <c r="K173" t="str">
        <f ca="1"/>
        <v>Sofia Jenkins</v>
      </c>
      <c r="L173" t="str">
        <f ca="1"/>
        <v>Fantasy</v>
      </c>
      <c r="M173">
        <f ca="1"/>
        <v>2018</v>
      </c>
      <c r="N173">
        <f ca="1"/>
        <v>470.1</v>
      </c>
      <c r="O173">
        <f ca="1"/>
        <v>14</v>
      </c>
      <c r="P173">
        <f ca="1"/>
        <v>45534</v>
      </c>
    </row>
    <row r="174" spans="1:16" x14ac:dyDescent="0.3">
      <c r="A174">
        <f ca="1"/>
        <v>65</v>
      </c>
      <c r="B174" t="str">
        <f ca="1"/>
        <v>Under the Scarlet Sky</v>
      </c>
      <c r="C174" t="str">
        <f ca="1"/>
        <v>Mia Walker</v>
      </c>
      <c r="D174" t="str">
        <f ca="1"/>
        <v>Historical Fiction</v>
      </c>
      <c r="E174">
        <f ca="1"/>
        <v>2018</v>
      </c>
      <c r="F174">
        <f ca="1"/>
        <v>480.25</v>
      </c>
      <c r="G174">
        <f ca="1"/>
        <v>13</v>
      </c>
      <c r="H174" s="6">
        <f ca="1"/>
        <v>45337</v>
      </c>
      <c r="I174">
        <f ca="1"/>
        <v>8</v>
      </c>
      <c r="J174" t="str">
        <f ca="1"/>
        <v>Wings of Glass</v>
      </c>
      <c r="K174" t="str">
        <f ca="1"/>
        <v>Isabella Reed</v>
      </c>
      <c r="L174" t="str">
        <f ca="1"/>
        <v>Fantasy</v>
      </c>
      <c r="M174">
        <f ca="1"/>
        <v>2017</v>
      </c>
      <c r="N174">
        <f ca="1"/>
        <v>470.1</v>
      </c>
      <c r="O174">
        <f ca="1"/>
        <v>18</v>
      </c>
      <c r="P174">
        <f ca="1"/>
        <v>45338</v>
      </c>
    </row>
    <row r="175" spans="1:16" x14ac:dyDescent="0.3">
      <c r="A175">
        <f ca="1"/>
        <v>48</v>
      </c>
      <c r="B175" t="str">
        <f ca="1"/>
        <v>Winds of the West</v>
      </c>
      <c r="C175" t="str">
        <f ca="1"/>
        <v>Grace Adams</v>
      </c>
      <c r="D175" t="str">
        <f ca="1"/>
        <v>Historical Fiction</v>
      </c>
      <c r="E175">
        <f ca="1"/>
        <v>2018</v>
      </c>
      <c r="F175">
        <f ca="1"/>
        <v>490.2</v>
      </c>
      <c r="G175">
        <f ca="1"/>
        <v>13</v>
      </c>
      <c r="H175" s="6">
        <f ca="1"/>
        <v>45231</v>
      </c>
      <c r="I175">
        <f ca="1"/>
        <v>53</v>
      </c>
      <c r="J175" t="str">
        <f ca="1"/>
        <v>The Wandering Soul</v>
      </c>
      <c r="K175" t="str">
        <f ca="1"/>
        <v>Nathan Mitchell</v>
      </c>
      <c r="L175" t="str">
        <f ca="1"/>
        <v>Fantasy</v>
      </c>
      <c r="M175">
        <f ca="1"/>
        <v>2020</v>
      </c>
      <c r="N175">
        <f ca="1"/>
        <v>460.5</v>
      </c>
      <c r="O175">
        <f ca="1"/>
        <v>12</v>
      </c>
      <c r="P175">
        <f ca="1"/>
        <v>45943</v>
      </c>
    </row>
    <row r="176" spans="1:16" x14ac:dyDescent="0.3">
      <c r="A176">
        <f ca="1"/>
        <v>18</v>
      </c>
      <c r="B176" t="str">
        <f ca="1"/>
        <v>Ashes of the Empire</v>
      </c>
      <c r="C176" t="str">
        <f ca="1"/>
        <v>Harper Scott</v>
      </c>
      <c r="D176" t="str">
        <f ca="1"/>
        <v>Historical Fiction</v>
      </c>
      <c r="E176">
        <f ca="1"/>
        <v>2016</v>
      </c>
      <c r="F176">
        <f ca="1"/>
        <v>450</v>
      </c>
      <c r="G176">
        <f ca="1"/>
        <v>14</v>
      </c>
      <c r="H176" s="6">
        <f ca="1"/>
        <v>45883</v>
      </c>
      <c r="I176">
        <f ca="1"/>
        <v>30</v>
      </c>
      <c r="J176" t="str">
        <f ca="1"/>
        <v>The Winter’s Crown</v>
      </c>
      <c r="K176" t="str">
        <f ca="1"/>
        <v>Victoria Hall</v>
      </c>
      <c r="L176" t="str">
        <f ca="1"/>
        <v>Historical Fiction</v>
      </c>
      <c r="M176">
        <f ca="1"/>
        <v>2016</v>
      </c>
      <c r="N176">
        <f ca="1"/>
        <v>460.25</v>
      </c>
      <c r="O176">
        <f ca="1"/>
        <v>13</v>
      </c>
      <c r="P176">
        <f ca="1"/>
        <v>45699</v>
      </c>
    </row>
    <row r="177" spans="1:16" x14ac:dyDescent="0.3">
      <c r="A177">
        <f ca="1"/>
        <v>4</v>
      </c>
      <c r="B177" t="str">
        <f ca="1"/>
        <v>Beneath the Crimson Sky</v>
      </c>
      <c r="C177" t="str">
        <f ca="1"/>
        <v>Noah Brooks</v>
      </c>
      <c r="D177" t="str">
        <f ca="1"/>
        <v>Historical Fiction</v>
      </c>
      <c r="E177">
        <f ca="1"/>
        <v>2019</v>
      </c>
      <c r="F177">
        <f ca="1"/>
        <v>450.25</v>
      </c>
      <c r="G177">
        <f ca="1"/>
        <v>14</v>
      </c>
      <c r="H177" s="6">
        <f ca="1"/>
        <v>45349</v>
      </c>
      <c r="I177">
        <f ca="1"/>
        <v>72</v>
      </c>
      <c r="J177" t="str">
        <f ca="1"/>
        <v>The Hollow Crown</v>
      </c>
      <c r="K177" t="str">
        <f ca="1"/>
        <v>Henry Bennett</v>
      </c>
      <c r="L177" t="str">
        <f ca="1"/>
        <v>Historical Fiction</v>
      </c>
      <c r="M177">
        <f ca="1"/>
        <v>2016</v>
      </c>
      <c r="N177">
        <f ca="1"/>
        <v>460.25</v>
      </c>
      <c r="O177">
        <f ca="1"/>
        <v>15</v>
      </c>
      <c r="P177">
        <f ca="1"/>
        <v>45296</v>
      </c>
    </row>
    <row r="178" spans="1:16" x14ac:dyDescent="0.3">
      <c r="A178">
        <f ca="1"/>
        <v>88</v>
      </c>
      <c r="B178" t="str">
        <f ca="1"/>
        <v>Fallen Kingdom</v>
      </c>
      <c r="C178" t="str">
        <f ca="1"/>
        <v>Logan Parker</v>
      </c>
      <c r="D178" t="str">
        <f ca="1"/>
        <v>Adventure</v>
      </c>
      <c r="E178">
        <f ca="1"/>
        <v>2020</v>
      </c>
      <c r="F178">
        <f ca="1"/>
        <v>500.3</v>
      </c>
      <c r="G178">
        <f ca="1"/>
        <v>14</v>
      </c>
      <c r="H178" s="6">
        <f ca="1"/>
        <v>45137</v>
      </c>
      <c r="I178">
        <f ca="1"/>
        <v>67</v>
      </c>
      <c r="J178" t="str">
        <f ca="1"/>
        <v>The Emerald Flame</v>
      </c>
      <c r="K178" t="str">
        <f ca="1"/>
        <v>Isabella Turner</v>
      </c>
      <c r="L178" t="str">
        <f ca="1"/>
        <v>Fantasy</v>
      </c>
      <c r="M178">
        <f ca="1"/>
        <v>2017</v>
      </c>
      <c r="N178">
        <f ca="1"/>
        <v>450.9</v>
      </c>
      <c r="O178">
        <f ca="1"/>
        <v>18</v>
      </c>
      <c r="P178">
        <f ca="1"/>
        <v>45429</v>
      </c>
    </row>
    <row r="179" spans="1:16" x14ac:dyDescent="0.3">
      <c r="A179">
        <f ca="1"/>
        <v>36</v>
      </c>
      <c r="B179" t="str">
        <f ca="1"/>
        <v>The Broken Spell</v>
      </c>
      <c r="C179" t="str">
        <f ca="1"/>
        <v>Sofia Jenkins</v>
      </c>
      <c r="D179" t="str">
        <f ca="1"/>
        <v>Fantasy</v>
      </c>
      <c r="E179">
        <f ca="1"/>
        <v>2018</v>
      </c>
      <c r="F179">
        <f ca="1"/>
        <v>470.1</v>
      </c>
      <c r="G179">
        <f ca="1"/>
        <v>14</v>
      </c>
      <c r="H179" s="6">
        <f ca="1"/>
        <v>45534</v>
      </c>
      <c r="I179">
        <f ca="1"/>
        <v>4</v>
      </c>
      <c r="J179" t="str">
        <f ca="1"/>
        <v>Beneath the Crimson Sky</v>
      </c>
      <c r="K179" t="str">
        <f ca="1"/>
        <v>Noah Brooks</v>
      </c>
      <c r="L179" t="str">
        <f ca="1"/>
        <v>Historical Fiction</v>
      </c>
      <c r="M179">
        <f ca="1"/>
        <v>2019</v>
      </c>
      <c r="N179">
        <f ca="1"/>
        <v>450.25</v>
      </c>
      <c r="O179">
        <f ca="1"/>
        <v>14</v>
      </c>
      <c r="P179">
        <f ca="1"/>
        <v>45349</v>
      </c>
    </row>
    <row r="180" spans="1:16" x14ac:dyDescent="0.3">
      <c r="A180">
        <f ca="1"/>
        <v>60</v>
      </c>
      <c r="B180" t="str">
        <f ca="1"/>
        <v>The Last Odyssey</v>
      </c>
      <c r="C180" t="str">
        <f ca="1"/>
        <v>Olivia Gray</v>
      </c>
      <c r="D180" t="str">
        <f ca="1"/>
        <v>Adventure</v>
      </c>
      <c r="E180">
        <f ca="1"/>
        <v>2019</v>
      </c>
      <c r="F180">
        <f ca="1"/>
        <v>500.3</v>
      </c>
      <c r="G180">
        <f ca="1"/>
        <v>14</v>
      </c>
      <c r="H180" s="6">
        <f ca="1"/>
        <v>45344</v>
      </c>
      <c r="I180">
        <f ca="1"/>
        <v>18</v>
      </c>
      <c r="J180" t="str">
        <f ca="1"/>
        <v>Ashes of the Empire</v>
      </c>
      <c r="K180" t="str">
        <f ca="1"/>
        <v>Harper Scott</v>
      </c>
      <c r="L180" t="str">
        <f ca="1"/>
        <v>Historical Fiction</v>
      </c>
      <c r="M180">
        <f ca="1"/>
        <v>2016</v>
      </c>
      <c r="N180">
        <f ca="1"/>
        <v>450</v>
      </c>
      <c r="O180">
        <f ca="1"/>
        <v>14</v>
      </c>
      <c r="P180">
        <f ca="1"/>
        <v>45883</v>
      </c>
    </row>
    <row r="181" spans="1:16" x14ac:dyDescent="0.3">
      <c r="A181">
        <f ca="1"/>
        <v>100</v>
      </c>
      <c r="B181" t="str">
        <f ca="1"/>
        <v>The Lost Empire</v>
      </c>
      <c r="C181" t="str">
        <f ca="1"/>
        <v>Liam Allen</v>
      </c>
      <c r="D181" t="str">
        <f ca="1"/>
        <v>Adventure</v>
      </c>
      <c r="E181">
        <f ca="1"/>
        <v>2018</v>
      </c>
      <c r="F181">
        <f ca="1"/>
        <v>490.25</v>
      </c>
      <c r="G181">
        <f ca="1"/>
        <v>14</v>
      </c>
      <c r="H181" s="6">
        <f ca="1"/>
        <v>45730</v>
      </c>
      <c r="I181">
        <f ca="1"/>
        <v>91</v>
      </c>
      <c r="J181" t="str">
        <f ca="1"/>
        <v>The Vanishing Point</v>
      </c>
      <c r="K181" t="str">
        <f ca="1"/>
        <v>Daniel Ross</v>
      </c>
      <c r="L181" t="str">
        <f ca="1"/>
        <v>Mystery</v>
      </c>
      <c r="M181">
        <f ca="1"/>
        <v>2020</v>
      </c>
      <c r="N181">
        <f ca="1"/>
        <v>440.75</v>
      </c>
      <c r="O181">
        <f ca="1"/>
        <v>16</v>
      </c>
      <c r="P181">
        <f ca="1"/>
        <v>45192</v>
      </c>
    </row>
    <row r="182" spans="1:16" x14ac:dyDescent="0.3">
      <c r="A182">
        <f ca="1"/>
        <v>81</v>
      </c>
      <c r="B182" t="str">
        <f ca="1"/>
        <v>Under the Midnight Sun</v>
      </c>
      <c r="C182" t="str">
        <f ca="1"/>
        <v>Michael Brown</v>
      </c>
      <c r="D182" t="str">
        <f ca="1"/>
        <v>Historical Fiction</v>
      </c>
      <c r="E182">
        <f ca="1"/>
        <v>2018</v>
      </c>
      <c r="F182">
        <f ca="1"/>
        <v>470.25</v>
      </c>
      <c r="G182">
        <f ca="1"/>
        <v>14</v>
      </c>
      <c r="H182" s="6">
        <f ca="1"/>
        <v>45450</v>
      </c>
      <c r="I182">
        <f ca="1"/>
        <v>49</v>
      </c>
      <c r="J182" t="str">
        <f ca="1"/>
        <v>The Night Circus</v>
      </c>
      <c r="K182" t="str">
        <f ca="1"/>
        <v>Arthur Hayes</v>
      </c>
      <c r="L182" t="str">
        <f ca="1"/>
        <v>Fantasy</v>
      </c>
      <c r="M182">
        <f ca="1"/>
        <v>2016</v>
      </c>
      <c r="N182">
        <f ca="1"/>
        <v>440</v>
      </c>
      <c r="O182">
        <f ca="1"/>
        <v>19</v>
      </c>
      <c r="P182">
        <f ca="1"/>
        <v>46011</v>
      </c>
    </row>
    <row r="183" spans="1:16" x14ac:dyDescent="0.3">
      <c r="A183">
        <f ca="1"/>
        <v>45</v>
      </c>
      <c r="B183" t="str">
        <f ca="1"/>
        <v>Into the Abyss</v>
      </c>
      <c r="C183" t="str">
        <f ca="1"/>
        <v>Ella Stewart</v>
      </c>
      <c r="D183" t="str">
        <f ca="1"/>
        <v>Horror</v>
      </c>
      <c r="E183">
        <f ca="1"/>
        <v>2019</v>
      </c>
      <c r="F183">
        <f ca="1"/>
        <v>420</v>
      </c>
      <c r="G183">
        <f ca="1"/>
        <v>15</v>
      </c>
      <c r="H183" s="6">
        <f ca="1"/>
        <v>45718</v>
      </c>
      <c r="I183">
        <f ca="1"/>
        <v>13</v>
      </c>
      <c r="J183" t="str">
        <f ca="1"/>
        <v>Through the Last Gate</v>
      </c>
      <c r="K183" t="str">
        <f ca="1"/>
        <v>Benjamin Price</v>
      </c>
      <c r="L183" t="str">
        <f ca="1"/>
        <v>Science Fiction</v>
      </c>
      <c r="M183">
        <f ca="1"/>
        <v>2019</v>
      </c>
      <c r="N183">
        <f ca="1"/>
        <v>420.3</v>
      </c>
      <c r="O183">
        <f ca="1"/>
        <v>16</v>
      </c>
      <c r="P183">
        <f ca="1"/>
        <v>45091</v>
      </c>
    </row>
    <row r="184" spans="1:16" x14ac:dyDescent="0.3">
      <c r="A184">
        <f ca="1"/>
        <v>28</v>
      </c>
      <c r="B184" t="str">
        <f ca="1"/>
        <v>Shattered Reflections</v>
      </c>
      <c r="C184" t="str">
        <f ca="1"/>
        <v>Abigail Gray</v>
      </c>
      <c r="D184" t="str">
        <f ca="1"/>
        <v>Psychological Fiction</v>
      </c>
      <c r="E184">
        <f ca="1"/>
        <v>2020</v>
      </c>
      <c r="F184">
        <f ca="1"/>
        <v>420</v>
      </c>
      <c r="G184">
        <f ca="1"/>
        <v>15</v>
      </c>
      <c r="H184" s="6">
        <f ca="1"/>
        <v>45191</v>
      </c>
      <c r="I184">
        <f ca="1"/>
        <v>76</v>
      </c>
      <c r="J184" t="str">
        <f ca="1"/>
        <v>The Hidden Truth</v>
      </c>
      <c r="K184" t="str">
        <f ca="1"/>
        <v>Lucas Allen</v>
      </c>
      <c r="L184" t="str">
        <f ca="1"/>
        <v>Mystery</v>
      </c>
      <c r="M184">
        <f ca="1"/>
        <v>2020</v>
      </c>
      <c r="N184">
        <f ca="1"/>
        <v>420</v>
      </c>
      <c r="O184">
        <f ca="1"/>
        <v>11</v>
      </c>
      <c r="P184">
        <f ca="1"/>
        <v>44955</v>
      </c>
    </row>
    <row r="185" spans="1:16" x14ac:dyDescent="0.3">
      <c r="A185">
        <f ca="1"/>
        <v>9</v>
      </c>
      <c r="B185" t="str">
        <f ca="1"/>
        <v>The Forgotten Realm</v>
      </c>
      <c r="C185" t="str">
        <f ca="1"/>
        <v>Mason Adams</v>
      </c>
      <c r="D185" t="str">
        <f ca="1"/>
        <v>Adventure</v>
      </c>
      <c r="E185">
        <f ca="1"/>
        <v>2019</v>
      </c>
      <c r="F185">
        <f ca="1"/>
        <v>540</v>
      </c>
      <c r="G185">
        <f ca="1"/>
        <v>15</v>
      </c>
      <c r="H185" s="6">
        <f ca="1"/>
        <v>45119</v>
      </c>
      <c r="I185">
        <f ca="1"/>
        <v>45</v>
      </c>
      <c r="J185" t="str">
        <f ca="1"/>
        <v>Into the Abyss</v>
      </c>
      <c r="K185" t="str">
        <f ca="1"/>
        <v>Ella Stewart</v>
      </c>
      <c r="L185" t="str">
        <f ca="1"/>
        <v>Horror</v>
      </c>
      <c r="M185">
        <f ca="1"/>
        <v>2019</v>
      </c>
      <c r="N185">
        <f ca="1"/>
        <v>420</v>
      </c>
      <c r="O185">
        <f ca="1"/>
        <v>15</v>
      </c>
      <c r="P185">
        <f ca="1"/>
        <v>45718</v>
      </c>
    </row>
    <row r="186" spans="1:16" x14ac:dyDescent="0.3">
      <c r="A186">
        <f ca="1"/>
        <v>72</v>
      </c>
      <c r="B186" t="str">
        <f ca="1"/>
        <v>The Hollow Crown</v>
      </c>
      <c r="C186" t="str">
        <f ca="1"/>
        <v>Henry Bennett</v>
      </c>
      <c r="D186" t="str">
        <f ca="1"/>
        <v>Historical Fiction</v>
      </c>
      <c r="E186">
        <f ca="1"/>
        <v>2016</v>
      </c>
      <c r="F186">
        <f ca="1"/>
        <v>460.25</v>
      </c>
      <c r="G186">
        <f ca="1"/>
        <v>15</v>
      </c>
      <c r="H186" s="6">
        <f ca="1"/>
        <v>45296</v>
      </c>
      <c r="I186">
        <f ca="1"/>
        <v>28</v>
      </c>
      <c r="J186" t="str">
        <f ca="1"/>
        <v>Shattered Reflections</v>
      </c>
      <c r="K186" t="str">
        <f ca="1"/>
        <v>Abigail Gray</v>
      </c>
      <c r="L186" t="str">
        <f ca="1"/>
        <v>Psychological Fiction</v>
      </c>
      <c r="M186">
        <f ca="1"/>
        <v>2020</v>
      </c>
      <c r="N186">
        <f ca="1"/>
        <v>420</v>
      </c>
      <c r="O186">
        <f ca="1"/>
        <v>15</v>
      </c>
      <c r="P186">
        <f ca="1"/>
        <v>45191</v>
      </c>
    </row>
    <row r="187" spans="1:16" x14ac:dyDescent="0.3">
      <c r="A187">
        <f ca="1"/>
        <v>96</v>
      </c>
      <c r="B187" t="str">
        <f ca="1"/>
        <v>The Silver Compass</v>
      </c>
      <c r="C187" t="str">
        <f ca="1"/>
        <v>Emma Foster</v>
      </c>
      <c r="D187" t="str">
        <f ca="1"/>
        <v>Adventure</v>
      </c>
      <c r="E187">
        <f ca="1"/>
        <v>2019</v>
      </c>
      <c r="F187">
        <f ca="1"/>
        <v>510</v>
      </c>
      <c r="G187">
        <f ca="1"/>
        <v>15</v>
      </c>
      <c r="H187" s="6">
        <f ca="1"/>
        <v>45580</v>
      </c>
      <c r="I187">
        <f ca="1"/>
        <v>24</v>
      </c>
      <c r="J187" t="str">
        <f ca="1"/>
        <v>Beneath the Ice</v>
      </c>
      <c r="K187" t="str">
        <f ca="1"/>
        <v>Scarlett Ward</v>
      </c>
      <c r="L187" t="str">
        <f ca="1"/>
        <v>Thriller</v>
      </c>
      <c r="M187">
        <f ca="1"/>
        <v>2018</v>
      </c>
      <c r="N187">
        <f ca="1"/>
        <v>410.9</v>
      </c>
      <c r="O187">
        <f ca="1"/>
        <v>13</v>
      </c>
      <c r="P187">
        <f ca="1"/>
        <v>45755</v>
      </c>
    </row>
    <row r="188" spans="1:16" x14ac:dyDescent="0.3">
      <c r="A188">
        <f ca="1"/>
        <v>77</v>
      </c>
      <c r="B188" t="str">
        <f ca="1"/>
        <v>The Burning Sky</v>
      </c>
      <c r="C188" t="str">
        <f ca="1"/>
        <v>Mason Ross</v>
      </c>
      <c r="D188" t="str">
        <f ca="1"/>
        <v>Adventure</v>
      </c>
      <c r="E188">
        <f ca="1"/>
        <v>2018</v>
      </c>
      <c r="F188">
        <f ca="1"/>
        <v>480.5</v>
      </c>
      <c r="G188">
        <f ca="1"/>
        <v>16</v>
      </c>
      <c r="H188" s="6">
        <f ca="1"/>
        <v>45531</v>
      </c>
      <c r="I188">
        <f ca="1"/>
        <v>55</v>
      </c>
      <c r="J188" t="str">
        <f ca="1"/>
        <v>Voices in the Dark</v>
      </c>
      <c r="K188" t="str">
        <f ca="1"/>
        <v>Eli Parker</v>
      </c>
      <c r="L188" t="str">
        <f ca="1"/>
        <v>Horror</v>
      </c>
      <c r="M188">
        <f ca="1"/>
        <v>2019</v>
      </c>
      <c r="N188">
        <f ca="1"/>
        <v>410.1</v>
      </c>
      <c r="O188">
        <f ca="1"/>
        <v>16</v>
      </c>
      <c r="P188">
        <f ca="1"/>
        <v>45886</v>
      </c>
    </row>
    <row r="189" spans="1:16" x14ac:dyDescent="0.3">
      <c r="A189">
        <f ca="1"/>
        <v>91</v>
      </c>
      <c r="B189" t="str">
        <f ca="1"/>
        <v>The Vanishing Point</v>
      </c>
      <c r="C189" t="str">
        <f ca="1"/>
        <v>Daniel Ross</v>
      </c>
      <c r="D189" t="str">
        <f ca="1"/>
        <v>Mystery</v>
      </c>
      <c r="E189">
        <f ca="1"/>
        <v>2020</v>
      </c>
      <c r="F189">
        <f ca="1"/>
        <v>440.75</v>
      </c>
      <c r="G189">
        <f ca="1"/>
        <v>16</v>
      </c>
      <c r="H189" s="6">
        <f ca="1"/>
        <v>45192</v>
      </c>
      <c r="I189">
        <f ca="1"/>
        <v>42</v>
      </c>
      <c r="J189" t="str">
        <f ca="1"/>
        <v>The Red Horizon</v>
      </c>
      <c r="K189" t="str">
        <f ca="1"/>
        <v>Madison Young</v>
      </c>
      <c r="L189" t="str">
        <f ca="1"/>
        <v>Adventure</v>
      </c>
      <c r="M189">
        <f ca="1"/>
        <v>2020</v>
      </c>
      <c r="N189">
        <f ca="1"/>
        <v>410</v>
      </c>
      <c r="O189">
        <f ca="1"/>
        <v>11</v>
      </c>
      <c r="P189">
        <f ca="1"/>
        <v>45327</v>
      </c>
    </row>
    <row r="190" spans="1:16" x14ac:dyDescent="0.3">
      <c r="A190">
        <f ca="1"/>
        <v>13</v>
      </c>
      <c r="B190" t="str">
        <f ca="1"/>
        <v>Through the Last Gate</v>
      </c>
      <c r="C190" t="str">
        <f ca="1"/>
        <v>Benjamin Price</v>
      </c>
      <c r="D190" t="str">
        <f ca="1"/>
        <v>Science Fiction</v>
      </c>
      <c r="E190">
        <f ca="1"/>
        <v>2019</v>
      </c>
      <c r="F190">
        <f ca="1"/>
        <v>420.3</v>
      </c>
      <c r="G190">
        <f ca="1"/>
        <v>16</v>
      </c>
      <c r="H190" s="6">
        <f ca="1"/>
        <v>45091</v>
      </c>
      <c r="I190">
        <f ca="1"/>
        <v>38</v>
      </c>
      <c r="J190" t="str">
        <f ca="1"/>
        <v>The Haunting of Willow Lake</v>
      </c>
      <c r="K190" t="str">
        <f ca="1"/>
        <v>Layla Rogers</v>
      </c>
      <c r="L190" t="str">
        <f ca="1"/>
        <v>Horror</v>
      </c>
      <c r="M190">
        <f ca="1"/>
        <v>2016</v>
      </c>
      <c r="N190">
        <f ca="1"/>
        <v>400</v>
      </c>
      <c r="O190">
        <f ca="1"/>
        <v>8</v>
      </c>
      <c r="P190">
        <f ca="1"/>
        <v>45336</v>
      </c>
    </row>
    <row r="191" spans="1:16" x14ac:dyDescent="0.3">
      <c r="A191">
        <f ca="1"/>
        <v>55</v>
      </c>
      <c r="B191" t="str">
        <f ca="1"/>
        <v>Voices in the Dark</v>
      </c>
      <c r="C191" t="str">
        <f ca="1"/>
        <v>Eli Parker</v>
      </c>
      <c r="D191" t="str">
        <f ca="1"/>
        <v>Horror</v>
      </c>
      <c r="E191">
        <f ca="1"/>
        <v>2019</v>
      </c>
      <c r="F191">
        <f ca="1"/>
        <v>410.1</v>
      </c>
      <c r="G191">
        <f ca="1"/>
        <v>16</v>
      </c>
      <c r="H191" s="6">
        <f ca="1"/>
        <v>45886</v>
      </c>
      <c r="I191">
        <f ca="1"/>
        <v>82</v>
      </c>
      <c r="J191" t="str">
        <f ca="1"/>
        <v>Whispering Shadows</v>
      </c>
      <c r="K191" t="str">
        <f ca="1"/>
        <v>Avery Lewis</v>
      </c>
      <c r="L191" t="str">
        <f ca="1"/>
        <v>Thriller</v>
      </c>
      <c r="M191">
        <f ca="1"/>
        <v>2019</v>
      </c>
      <c r="N191">
        <f ca="1"/>
        <v>400</v>
      </c>
      <c r="O191">
        <f ca="1"/>
        <v>12</v>
      </c>
      <c r="P191">
        <f ca="1"/>
        <v>45959</v>
      </c>
    </row>
    <row r="192" spans="1:16" x14ac:dyDescent="0.3">
      <c r="A192">
        <f ca="1"/>
        <v>85</v>
      </c>
      <c r="B192" t="str">
        <f ca="1"/>
        <v>Ashes and Embers</v>
      </c>
      <c r="C192" t="str">
        <f ca="1"/>
        <v>Lily Thompson</v>
      </c>
      <c r="D192" t="str">
        <f ca="1"/>
        <v>Drama</v>
      </c>
      <c r="E192">
        <f ca="1"/>
        <v>2019</v>
      </c>
      <c r="F192">
        <f ca="1"/>
        <v>320.25</v>
      </c>
      <c r="G192">
        <f ca="1"/>
        <v>17</v>
      </c>
      <c r="H192" s="6">
        <f ca="1"/>
        <v>45593</v>
      </c>
      <c r="I192">
        <f ca="1"/>
        <v>1</v>
      </c>
      <c r="J192" t="str">
        <f ca="1"/>
        <v>The Silent River</v>
      </c>
      <c r="K192" t="str">
        <f ca="1"/>
        <v>Ava Thompson</v>
      </c>
      <c r="L192" t="str">
        <f ca="1"/>
        <v>Mystery</v>
      </c>
      <c r="M192">
        <f ca="1"/>
        <v>2018</v>
      </c>
      <c r="N192">
        <f ca="1"/>
        <v>399.99</v>
      </c>
      <c r="O192">
        <f ca="1"/>
        <v>12</v>
      </c>
      <c r="P192">
        <f ca="1"/>
        <v>45167</v>
      </c>
    </row>
    <row r="193" spans="1:16" x14ac:dyDescent="0.3">
      <c r="A193">
        <f ca="1"/>
        <v>69</v>
      </c>
      <c r="B193" t="str">
        <f ca="1"/>
        <v>Echo Chamber</v>
      </c>
      <c r="C193" t="str">
        <f ca="1"/>
        <v>Ethan Evans</v>
      </c>
      <c r="D193" t="str">
        <f ca="1"/>
        <v>Drama</v>
      </c>
      <c r="E193">
        <f ca="1"/>
        <v>2019</v>
      </c>
      <c r="F193">
        <f ca="1"/>
        <v>310.5</v>
      </c>
      <c r="G193">
        <f ca="1"/>
        <v>17</v>
      </c>
      <c r="H193" s="6">
        <f ca="1"/>
        <v>45731</v>
      </c>
      <c r="I193">
        <f ca="1"/>
        <v>20</v>
      </c>
      <c r="J193" t="str">
        <f ca="1"/>
        <v>Voices from the Deep</v>
      </c>
      <c r="K193" t="str">
        <f ca="1"/>
        <v>Evelyn James</v>
      </c>
      <c r="L193" t="str">
        <f ca="1"/>
        <v>Horror</v>
      </c>
      <c r="M193">
        <f ca="1"/>
        <v>2018</v>
      </c>
      <c r="N193">
        <f ca="1"/>
        <v>390</v>
      </c>
      <c r="O193">
        <f ca="1"/>
        <v>12</v>
      </c>
      <c r="P193">
        <f ca="1"/>
        <v>45408</v>
      </c>
    </row>
    <row r="194" spans="1:16" x14ac:dyDescent="0.3">
      <c r="A194">
        <f ca="1"/>
        <v>44</v>
      </c>
      <c r="B194" t="str">
        <f ca="1"/>
        <v>The Glass Tower</v>
      </c>
      <c r="C194" t="str">
        <f ca="1"/>
        <v>Avery Kelly</v>
      </c>
      <c r="D194" t="str">
        <f ca="1"/>
        <v>Thriller</v>
      </c>
      <c r="E194">
        <f ca="1"/>
        <v>2017</v>
      </c>
      <c r="F194">
        <f ca="1"/>
        <v>360.9</v>
      </c>
      <c r="G194">
        <f ca="1"/>
        <v>17</v>
      </c>
      <c r="H194" s="6">
        <f ca="1"/>
        <v>45255</v>
      </c>
      <c r="I194">
        <f ca="1"/>
        <v>16</v>
      </c>
      <c r="J194" t="str">
        <f ca="1"/>
        <v>Edge of Nowhere</v>
      </c>
      <c r="K194" t="str">
        <f ca="1"/>
        <v>Ella Mitchell</v>
      </c>
      <c r="L194" t="str">
        <f ca="1"/>
        <v>Thriller</v>
      </c>
      <c r="M194">
        <f ca="1"/>
        <v>2017</v>
      </c>
      <c r="N194">
        <f ca="1"/>
        <v>380.9</v>
      </c>
      <c r="O194">
        <f ca="1"/>
        <v>19</v>
      </c>
      <c r="P194">
        <f ca="1"/>
        <v>45564</v>
      </c>
    </row>
    <row r="195" spans="1:16" x14ac:dyDescent="0.3">
      <c r="A195">
        <f ca="1"/>
        <v>31</v>
      </c>
      <c r="B195" t="str">
        <f ca="1"/>
        <v>The Lost City</v>
      </c>
      <c r="C195" t="str">
        <f ca="1"/>
        <v>Samuel Harris</v>
      </c>
      <c r="D195" t="str">
        <f ca="1"/>
        <v>Adventure</v>
      </c>
      <c r="E195">
        <f ca="1"/>
        <v>2018</v>
      </c>
      <c r="F195">
        <f ca="1"/>
        <v>480.6</v>
      </c>
      <c r="G195">
        <f ca="1"/>
        <v>17</v>
      </c>
      <c r="H195" s="6">
        <f ca="1"/>
        <v>45217</v>
      </c>
      <c r="I195">
        <f ca="1"/>
        <v>73</v>
      </c>
      <c r="J195" t="str">
        <f ca="1"/>
        <v>Dark Waters</v>
      </c>
      <c r="K195" t="str">
        <f ca="1"/>
        <v>Emma Scott</v>
      </c>
      <c r="L195" t="str">
        <f ca="1"/>
        <v>Thriller</v>
      </c>
      <c r="M195">
        <f ca="1"/>
        <v>2018</v>
      </c>
      <c r="N195">
        <f ca="1"/>
        <v>380.75</v>
      </c>
      <c r="O195">
        <f ca="1"/>
        <v>10</v>
      </c>
      <c r="P195">
        <f ca="1"/>
        <v>45972</v>
      </c>
    </row>
    <row r="196" spans="1:16" x14ac:dyDescent="0.3">
      <c r="A196">
        <f ca="1"/>
        <v>25</v>
      </c>
      <c r="B196" t="str">
        <f ca="1"/>
        <v>Fires of Redemption</v>
      </c>
      <c r="C196" t="str">
        <f ca="1"/>
        <v>Daniel Perry</v>
      </c>
      <c r="D196" t="str">
        <f ca="1"/>
        <v>Drama</v>
      </c>
      <c r="E196">
        <f ca="1"/>
        <v>2017</v>
      </c>
      <c r="F196">
        <f ca="1"/>
        <v>360</v>
      </c>
      <c r="G196">
        <f ca="1"/>
        <v>18</v>
      </c>
      <c r="H196" s="6">
        <f ca="1"/>
        <v>45369</v>
      </c>
      <c r="I196">
        <f ca="1"/>
        <v>44</v>
      </c>
      <c r="J196" t="str">
        <f ca="1"/>
        <v>The Glass Tower</v>
      </c>
      <c r="K196" t="str">
        <f ca="1"/>
        <v>Avery Kelly</v>
      </c>
      <c r="L196" t="str">
        <f ca="1"/>
        <v>Thriller</v>
      </c>
      <c r="M196">
        <f ca="1"/>
        <v>2017</v>
      </c>
      <c r="N196">
        <f ca="1"/>
        <v>360.9</v>
      </c>
      <c r="O196">
        <f ca="1"/>
        <v>17</v>
      </c>
      <c r="P196">
        <f ca="1"/>
        <v>45255</v>
      </c>
    </row>
    <row r="197" spans="1:16" x14ac:dyDescent="0.3">
      <c r="A197">
        <f ca="1"/>
        <v>92</v>
      </c>
      <c r="B197" t="str">
        <f ca="1"/>
        <v>Ocean’s Whisper</v>
      </c>
      <c r="C197" t="str">
        <f ca="1"/>
        <v>Mia Adams</v>
      </c>
      <c r="D197" t="str">
        <f ca="1"/>
        <v>Romance</v>
      </c>
      <c r="E197">
        <f ca="1"/>
        <v>2022</v>
      </c>
      <c r="F197">
        <f ca="1"/>
        <v>310</v>
      </c>
      <c r="G197">
        <f ca="1"/>
        <v>18</v>
      </c>
      <c r="H197" s="6">
        <f ca="1"/>
        <v>45542</v>
      </c>
      <c r="I197">
        <f ca="1"/>
        <v>25</v>
      </c>
      <c r="J197" t="str">
        <f ca="1"/>
        <v>Fires of Redemption</v>
      </c>
      <c r="K197" t="str">
        <f ca="1"/>
        <v>Daniel Perry</v>
      </c>
      <c r="L197" t="str">
        <f ca="1"/>
        <v>Drama</v>
      </c>
      <c r="M197">
        <f ca="1"/>
        <v>2017</v>
      </c>
      <c r="N197">
        <f ca="1"/>
        <v>360</v>
      </c>
      <c r="O197">
        <f ca="1"/>
        <v>18</v>
      </c>
      <c r="P197">
        <f ca="1"/>
        <v>45369</v>
      </c>
    </row>
    <row r="198" spans="1:16" x14ac:dyDescent="0.3">
      <c r="A198">
        <f ca="1"/>
        <v>67</v>
      </c>
      <c r="B198" t="str">
        <f ca="1"/>
        <v>The Emerald Flame</v>
      </c>
      <c r="C198" t="str">
        <f ca="1"/>
        <v>Isabella Turner</v>
      </c>
      <c r="D198" t="str">
        <f ca="1"/>
        <v>Fantasy</v>
      </c>
      <c r="E198">
        <f ca="1"/>
        <v>2017</v>
      </c>
      <c r="F198">
        <f ca="1"/>
        <v>450.9</v>
      </c>
      <c r="G198">
        <f ca="1"/>
        <v>18</v>
      </c>
      <c r="H198" s="6">
        <f ca="1"/>
        <v>45429</v>
      </c>
      <c r="I198">
        <f ca="1"/>
        <v>11</v>
      </c>
      <c r="J198" t="str">
        <f ca="1"/>
        <v>City of Broken Dreams</v>
      </c>
      <c r="K198" t="str">
        <f ca="1"/>
        <v>James Lewis</v>
      </c>
      <c r="L198" t="str">
        <f ca="1"/>
        <v>Drama</v>
      </c>
      <c r="M198">
        <f ca="1"/>
        <v>2020</v>
      </c>
      <c r="N198">
        <f ca="1"/>
        <v>350</v>
      </c>
      <c r="O198">
        <f ca="1"/>
        <v>11</v>
      </c>
      <c r="P198">
        <f ca="1"/>
        <v>45645</v>
      </c>
    </row>
    <row r="199" spans="1:16" x14ac:dyDescent="0.3">
      <c r="A199">
        <f ca="1"/>
        <v>57</v>
      </c>
      <c r="B199" t="str">
        <f ca="1"/>
        <v>The Hidden Fortress</v>
      </c>
      <c r="C199" t="str">
        <f ca="1"/>
        <v>Mason Bennett</v>
      </c>
      <c r="D199" t="str">
        <f ca="1"/>
        <v>Adventure</v>
      </c>
      <c r="E199">
        <f ca="1"/>
        <v>2017</v>
      </c>
      <c r="F199">
        <f ca="1"/>
        <v>470.6</v>
      </c>
      <c r="G199">
        <f ca="1"/>
        <v>18</v>
      </c>
      <c r="H199" s="6">
        <f ca="1"/>
        <v>45918</v>
      </c>
      <c r="I199">
        <f ca="1"/>
        <v>27</v>
      </c>
      <c r="J199" t="str">
        <f ca="1"/>
        <v>House of Secrets</v>
      </c>
      <c r="K199" t="str">
        <f ca="1"/>
        <v>Matthew Reed</v>
      </c>
      <c r="L199" t="str">
        <f ca="1"/>
        <v>Mystery</v>
      </c>
      <c r="M199">
        <f ca="1"/>
        <v>2015</v>
      </c>
      <c r="N199">
        <f ca="1"/>
        <v>340</v>
      </c>
      <c r="O199">
        <f ca="1"/>
        <v>20</v>
      </c>
      <c r="P199">
        <f ca="1"/>
        <v>45145</v>
      </c>
    </row>
    <row r="200" spans="1:16" x14ac:dyDescent="0.3">
      <c r="A200">
        <f ca="1"/>
        <v>8</v>
      </c>
      <c r="B200" t="str">
        <f ca="1"/>
        <v>Wings of Glass</v>
      </c>
      <c r="C200" t="str">
        <f ca="1"/>
        <v>Isabella Reed</v>
      </c>
      <c r="D200" t="str">
        <f ca="1"/>
        <v>Fantasy</v>
      </c>
      <c r="E200">
        <f ca="1"/>
        <v>2017</v>
      </c>
      <c r="F200">
        <f ca="1"/>
        <v>470.1</v>
      </c>
      <c r="G200">
        <f ca="1"/>
        <v>18</v>
      </c>
      <c r="H200" s="6">
        <f ca="1"/>
        <v>45338</v>
      </c>
      <c r="I200">
        <f ca="1"/>
        <v>35</v>
      </c>
      <c r="J200" t="str">
        <f ca="1"/>
        <v>River of Dreams</v>
      </c>
      <c r="K200" t="str">
        <f ca="1"/>
        <v>Aiden Morris</v>
      </c>
      <c r="L200" t="str">
        <f ca="1"/>
        <v>Romance</v>
      </c>
      <c r="M200">
        <f ca="1"/>
        <v>2017</v>
      </c>
      <c r="N200">
        <f ca="1"/>
        <v>330.75</v>
      </c>
      <c r="O200">
        <f ca="1"/>
        <v>19</v>
      </c>
      <c r="P200">
        <f ca="1"/>
        <v>45203</v>
      </c>
    </row>
    <row r="201" spans="1:16" x14ac:dyDescent="0.3">
      <c r="A201">
        <f ca="1"/>
        <v>75</v>
      </c>
      <c r="B201" t="str">
        <f ca="1"/>
        <v>A Song of Fireflies</v>
      </c>
      <c r="C201" t="str">
        <f ca="1"/>
        <v>Grace Hughes</v>
      </c>
      <c r="D201" t="str">
        <f ca="1"/>
        <v>Romance</v>
      </c>
      <c r="E201">
        <f ca="1"/>
        <v>2017</v>
      </c>
      <c r="F201">
        <f ca="1"/>
        <v>310</v>
      </c>
      <c r="G201">
        <f ca="1"/>
        <v>19</v>
      </c>
      <c r="H201" s="6">
        <f ca="1"/>
        <v>45773</v>
      </c>
      <c r="I201">
        <f ca="1"/>
        <v>56</v>
      </c>
      <c r="J201" t="str">
        <f ca="1"/>
        <v>Broken Chains</v>
      </c>
      <c r="K201" t="str">
        <f ca="1"/>
        <v>Ava Richardson</v>
      </c>
      <c r="L201" t="str">
        <f ca="1"/>
        <v>Drama</v>
      </c>
      <c r="M201">
        <f ca="1"/>
        <v>2020</v>
      </c>
      <c r="N201">
        <f ca="1"/>
        <v>330</v>
      </c>
      <c r="O201">
        <f ca="1"/>
        <v>20</v>
      </c>
      <c r="P201">
        <f ca="1"/>
        <v>45338</v>
      </c>
    </row>
    <row r="202" spans="1:16" x14ac:dyDescent="0.3">
      <c r="A202">
        <f ca="1"/>
        <v>16</v>
      </c>
      <c r="B202" t="str">
        <f ca="1"/>
        <v>Edge of Nowhere</v>
      </c>
      <c r="C202" t="str">
        <f ca="1"/>
        <v>Ella Mitchell</v>
      </c>
      <c r="D202" t="str">
        <f ca="1"/>
        <v>Thriller</v>
      </c>
      <c r="E202">
        <f ca="1"/>
        <v>2017</v>
      </c>
      <c r="F202">
        <f ca="1"/>
        <v>380.9</v>
      </c>
      <c r="G202">
        <f ca="1"/>
        <v>19</v>
      </c>
      <c r="H202" s="6">
        <f ca="1"/>
        <v>45564</v>
      </c>
      <c r="I202">
        <f ca="1"/>
        <v>10</v>
      </c>
      <c r="J202" t="str">
        <f ca="1"/>
        <v>Chronicles of Dawn</v>
      </c>
      <c r="K202" t="str">
        <f ca="1"/>
        <v>Charlotte Evans</v>
      </c>
      <c r="L202" t="str">
        <f ca="1"/>
        <v>Fantasy</v>
      </c>
      <c r="M202">
        <f ca="1"/>
        <v>2018</v>
      </c>
      <c r="N202">
        <f ca="1"/>
        <v>320.75</v>
      </c>
      <c r="O202">
        <f ca="1"/>
        <v>25</v>
      </c>
      <c r="P202">
        <f ca="1"/>
        <v>45271</v>
      </c>
    </row>
    <row r="203" spans="1:16" x14ac:dyDescent="0.3">
      <c r="A203">
        <f ca="1"/>
        <v>35</v>
      </c>
      <c r="B203" t="str">
        <f ca="1"/>
        <v>River of Dreams</v>
      </c>
      <c r="C203" t="str">
        <f ca="1"/>
        <v>Aiden Morris</v>
      </c>
      <c r="D203" t="str">
        <f ca="1"/>
        <v>Romance</v>
      </c>
      <c r="E203">
        <f ca="1"/>
        <v>2017</v>
      </c>
      <c r="F203">
        <f ca="1"/>
        <v>330.75</v>
      </c>
      <c r="G203">
        <f ca="1"/>
        <v>19</v>
      </c>
      <c r="H203" s="6">
        <f ca="1"/>
        <v>45203</v>
      </c>
      <c r="I203">
        <f ca="1"/>
        <v>102</v>
      </c>
      <c r="J203" t="str">
        <f ca="1"/>
        <v>Moonlight Sonata</v>
      </c>
      <c r="K203" t="str">
        <f ca="1"/>
        <v>Charlotte Adams</v>
      </c>
      <c r="L203" t="str">
        <f ca="1"/>
        <v>Romance</v>
      </c>
      <c r="M203">
        <f ca="1"/>
        <v>2020</v>
      </c>
      <c r="N203">
        <f ca="1"/>
        <v>320.5</v>
      </c>
      <c r="O203">
        <f ca="1"/>
        <v>23</v>
      </c>
      <c r="P203">
        <f ca="1"/>
        <v>45180</v>
      </c>
    </row>
    <row r="204" spans="1:16" x14ac:dyDescent="0.3">
      <c r="A204">
        <f ca="1"/>
        <v>49</v>
      </c>
      <c r="B204" t="str">
        <f ca="1"/>
        <v>The Night Circus</v>
      </c>
      <c r="C204" t="str">
        <f ca="1"/>
        <v>Arthur Hayes</v>
      </c>
      <c r="D204" t="str">
        <f ca="1"/>
        <v>Fantasy</v>
      </c>
      <c r="E204">
        <f ca="1"/>
        <v>2016</v>
      </c>
      <c r="F204">
        <f ca="1"/>
        <v>440</v>
      </c>
      <c r="G204">
        <f ca="1"/>
        <v>19</v>
      </c>
      <c r="H204" s="6">
        <f ca="1"/>
        <v>46011</v>
      </c>
      <c r="I204">
        <f ca="1"/>
        <v>85</v>
      </c>
      <c r="J204" t="str">
        <f ca="1"/>
        <v>Ashes and Embers</v>
      </c>
      <c r="K204" t="str">
        <f ca="1"/>
        <v>Lily Thompson</v>
      </c>
      <c r="L204" t="str">
        <f ca="1"/>
        <v>Drama</v>
      </c>
      <c r="M204">
        <f ca="1"/>
        <v>2019</v>
      </c>
      <c r="N204">
        <f ca="1"/>
        <v>320.25</v>
      </c>
      <c r="O204">
        <f ca="1"/>
        <v>17</v>
      </c>
      <c r="P204">
        <f ca="1"/>
        <v>45593</v>
      </c>
    </row>
    <row r="205" spans="1:16" x14ac:dyDescent="0.3">
      <c r="A205">
        <f ca="1"/>
        <v>56</v>
      </c>
      <c r="B205" t="str">
        <f ca="1"/>
        <v>Broken Chains</v>
      </c>
      <c r="C205" t="str">
        <f ca="1"/>
        <v>Ava Richardson</v>
      </c>
      <c r="D205" t="str">
        <f ca="1"/>
        <v>Drama</v>
      </c>
      <c r="E205">
        <f ca="1"/>
        <v>2020</v>
      </c>
      <c r="F205">
        <f ca="1"/>
        <v>330</v>
      </c>
      <c r="G205">
        <f ca="1"/>
        <v>20</v>
      </c>
      <c r="H205" s="6">
        <f ca="1"/>
        <v>45338</v>
      </c>
      <c r="I205">
        <f ca="1"/>
        <v>68</v>
      </c>
      <c r="J205" t="str">
        <f ca="1"/>
        <v>Heart of Shadows</v>
      </c>
      <c r="K205" t="str">
        <f ca="1"/>
        <v>Charlotte Morgan</v>
      </c>
      <c r="L205" t="str">
        <f ca="1"/>
        <v>Romance</v>
      </c>
      <c r="M205">
        <f ca="1"/>
        <v>2021</v>
      </c>
      <c r="N205">
        <f ca="1"/>
        <v>320</v>
      </c>
      <c r="O205">
        <f ca="1"/>
        <v>21</v>
      </c>
      <c r="P205">
        <f ca="1"/>
        <v>45857</v>
      </c>
    </row>
    <row r="206" spans="1:16" x14ac:dyDescent="0.3">
      <c r="A206">
        <f ca="1"/>
        <v>27</v>
      </c>
      <c r="B206" t="str">
        <f ca="1"/>
        <v>House of Secrets</v>
      </c>
      <c r="C206" t="str">
        <f ca="1"/>
        <v>Matthew Reed</v>
      </c>
      <c r="D206" t="str">
        <f ca="1"/>
        <v>Mystery</v>
      </c>
      <c r="E206">
        <f ca="1"/>
        <v>2015</v>
      </c>
      <c r="F206">
        <f ca="1"/>
        <v>340</v>
      </c>
      <c r="G206">
        <f ca="1"/>
        <v>20</v>
      </c>
      <c r="H206" s="6">
        <f ca="1"/>
        <v>45145</v>
      </c>
      <c r="I206">
        <f ca="1"/>
        <v>22</v>
      </c>
      <c r="J206" t="str">
        <f ca="1"/>
        <v>A Winter’s Promise</v>
      </c>
      <c r="K206" t="str">
        <f ca="1"/>
        <v>Grace Collins</v>
      </c>
      <c r="L206" t="str">
        <f ca="1"/>
        <v>Romance</v>
      </c>
      <c r="M206">
        <f ca="1"/>
        <v>2019</v>
      </c>
      <c r="N206">
        <f ca="1"/>
        <v>320</v>
      </c>
      <c r="O206">
        <f ca="1"/>
        <v>22</v>
      </c>
      <c r="P206">
        <f ca="1"/>
        <v>45403</v>
      </c>
    </row>
    <row r="207" spans="1:16" x14ac:dyDescent="0.3">
      <c r="A207">
        <f ca="1"/>
        <v>3</v>
      </c>
      <c r="B207" t="str">
        <f ca="1"/>
        <v>Whispers in the Wind</v>
      </c>
      <c r="C207" t="str">
        <f ca="1"/>
        <v>Sophia Bennett</v>
      </c>
      <c r="D207" t="str">
        <f ca="1"/>
        <v>Romance</v>
      </c>
      <c r="E207">
        <f ca="1"/>
        <v>2016</v>
      </c>
      <c r="F207">
        <f ca="1"/>
        <v>299</v>
      </c>
      <c r="G207">
        <f ca="1"/>
        <v>20</v>
      </c>
      <c r="H207" s="6">
        <f ca="1"/>
        <v>45670</v>
      </c>
      <c r="I207">
        <f ca="1"/>
        <v>79</v>
      </c>
      <c r="J207" t="str">
        <f ca="1"/>
        <v>Echoes of Silence</v>
      </c>
      <c r="K207" t="str">
        <f ca="1"/>
        <v>Nathan Turner</v>
      </c>
      <c r="L207" t="str">
        <f ca="1"/>
        <v>Drama</v>
      </c>
      <c r="M207">
        <f ca="1"/>
        <v>2020</v>
      </c>
      <c r="N207">
        <f ca="1"/>
        <v>310.89999999999998</v>
      </c>
      <c r="O207">
        <f ca="1"/>
        <v>22</v>
      </c>
      <c r="P207">
        <f ca="1"/>
        <v>45564</v>
      </c>
    </row>
    <row r="208" spans="1:16" x14ac:dyDescent="0.3">
      <c r="A208">
        <f ca="1"/>
        <v>68</v>
      </c>
      <c r="B208" t="str">
        <f ca="1"/>
        <v>Heart of Shadows</v>
      </c>
      <c r="C208" t="str">
        <f ca="1"/>
        <v>Charlotte Morgan</v>
      </c>
      <c r="D208" t="str">
        <f ca="1"/>
        <v>Romance</v>
      </c>
      <c r="E208">
        <f ca="1"/>
        <v>2021</v>
      </c>
      <c r="F208">
        <f ca="1"/>
        <v>320</v>
      </c>
      <c r="G208">
        <f ca="1"/>
        <v>21</v>
      </c>
      <c r="H208" s="6">
        <f ca="1"/>
        <v>45857</v>
      </c>
      <c r="I208">
        <f ca="1"/>
        <v>69</v>
      </c>
      <c r="J208" t="str">
        <f ca="1"/>
        <v>Echo Chamber</v>
      </c>
      <c r="K208" t="str">
        <f ca="1"/>
        <v>Ethan Evans</v>
      </c>
      <c r="L208" t="str">
        <f ca="1"/>
        <v>Drama</v>
      </c>
      <c r="M208">
        <f ca="1"/>
        <v>2019</v>
      </c>
      <c r="N208">
        <f ca="1"/>
        <v>310.5</v>
      </c>
      <c r="O208">
        <f ca="1"/>
        <v>17</v>
      </c>
      <c r="P208">
        <f ca="1"/>
        <v>45731</v>
      </c>
    </row>
    <row r="209" spans="1:16" x14ac:dyDescent="0.3">
      <c r="A209">
        <f ca="1"/>
        <v>22</v>
      </c>
      <c r="B209" t="str">
        <f ca="1"/>
        <v>A Winter’s Promise</v>
      </c>
      <c r="C209" t="str">
        <f ca="1"/>
        <v>Grace Collins</v>
      </c>
      <c r="D209" t="str">
        <f ca="1"/>
        <v>Romance</v>
      </c>
      <c r="E209">
        <f ca="1"/>
        <v>2019</v>
      </c>
      <c r="F209">
        <f ca="1"/>
        <v>320</v>
      </c>
      <c r="G209">
        <f ca="1"/>
        <v>22</v>
      </c>
      <c r="H209" s="6">
        <f ca="1"/>
        <v>45403</v>
      </c>
      <c r="I209">
        <f ca="1"/>
        <v>52</v>
      </c>
      <c r="J209" t="str">
        <f ca="1"/>
        <v>Echo Valley</v>
      </c>
      <c r="K209" t="str">
        <f ca="1"/>
        <v>Zoe Campbell</v>
      </c>
      <c r="L209" t="str">
        <f ca="1"/>
        <v>Drama</v>
      </c>
      <c r="M209">
        <f ca="1"/>
        <v>2019</v>
      </c>
      <c r="N209">
        <f ca="1"/>
        <v>310.25</v>
      </c>
      <c r="O209">
        <f ca="1"/>
        <v>22</v>
      </c>
      <c r="P209">
        <f ca="1"/>
        <v>45871</v>
      </c>
    </row>
    <row r="210" spans="1:16" x14ac:dyDescent="0.3">
      <c r="A210">
        <f ca="1"/>
        <v>52</v>
      </c>
      <c r="B210" t="str">
        <f ca="1"/>
        <v>Echo Valley</v>
      </c>
      <c r="C210" t="str">
        <f ca="1"/>
        <v>Zoe Campbell</v>
      </c>
      <c r="D210" t="str">
        <f ca="1"/>
        <v>Drama</v>
      </c>
      <c r="E210">
        <f ca="1"/>
        <v>2019</v>
      </c>
      <c r="F210">
        <f ca="1"/>
        <v>310.25</v>
      </c>
      <c r="G210">
        <f ca="1"/>
        <v>22</v>
      </c>
      <c r="H210" s="6">
        <f ca="1"/>
        <v>45871</v>
      </c>
      <c r="I210">
        <f ca="1"/>
        <v>92</v>
      </c>
      <c r="J210" t="str">
        <f ca="1"/>
        <v>Ocean’s Whisper</v>
      </c>
      <c r="K210" t="str">
        <f ca="1"/>
        <v>Mia Adams</v>
      </c>
      <c r="L210" t="str">
        <f ca="1"/>
        <v>Romance</v>
      </c>
      <c r="M210">
        <f ca="1"/>
        <v>2022</v>
      </c>
      <c r="N210">
        <f ca="1"/>
        <v>310</v>
      </c>
      <c r="O210">
        <f ca="1"/>
        <v>18</v>
      </c>
      <c r="P210">
        <f ca="1"/>
        <v>45542</v>
      </c>
    </row>
    <row r="211" spans="1:16" x14ac:dyDescent="0.3">
      <c r="A211">
        <f ca="1"/>
        <v>79</v>
      </c>
      <c r="B211" t="str">
        <f ca="1"/>
        <v>Echoes of Silence</v>
      </c>
      <c r="C211" t="str">
        <f ca="1"/>
        <v>Nathan Turner</v>
      </c>
      <c r="D211" t="str">
        <f ca="1"/>
        <v>Drama</v>
      </c>
      <c r="E211">
        <f ca="1"/>
        <v>2020</v>
      </c>
      <c r="F211">
        <f ca="1"/>
        <v>310.89999999999998</v>
      </c>
      <c r="G211">
        <f ca="1"/>
        <v>22</v>
      </c>
      <c r="H211" s="6">
        <f ca="1"/>
        <v>45564</v>
      </c>
      <c r="I211">
        <f ca="1"/>
        <v>75</v>
      </c>
      <c r="J211" t="str">
        <f ca="1"/>
        <v>A Song of Fireflies</v>
      </c>
      <c r="K211" t="str">
        <f ca="1"/>
        <v>Grace Hughes</v>
      </c>
      <c r="L211" t="str">
        <f ca="1"/>
        <v>Romance</v>
      </c>
      <c r="M211">
        <f ca="1"/>
        <v>2017</v>
      </c>
      <c r="N211">
        <f ca="1"/>
        <v>310</v>
      </c>
      <c r="O211">
        <f ca="1"/>
        <v>19</v>
      </c>
      <c r="P211">
        <f ca="1"/>
        <v>45773</v>
      </c>
    </row>
    <row r="212" spans="1:16" x14ac:dyDescent="0.3">
      <c r="A212">
        <f ca="1"/>
        <v>102</v>
      </c>
      <c r="B212" t="str">
        <f ca="1"/>
        <v>Moonlight Sonata</v>
      </c>
      <c r="C212" t="str">
        <f ca="1"/>
        <v>Charlotte Adams</v>
      </c>
      <c r="D212" t="str">
        <f ca="1"/>
        <v>Romance</v>
      </c>
      <c r="E212">
        <f ca="1"/>
        <v>2020</v>
      </c>
      <c r="F212">
        <f ca="1"/>
        <v>320.5</v>
      </c>
      <c r="G212">
        <f ca="1"/>
        <v>23</v>
      </c>
      <c r="H212" s="6">
        <f ca="1"/>
        <v>45180</v>
      </c>
      <c r="I212">
        <f ca="1"/>
        <v>32</v>
      </c>
      <c r="J212" t="str">
        <f ca="1"/>
        <v>Echoes of the Past</v>
      </c>
      <c r="K212" t="str">
        <f ca="1"/>
        <v>Lily Campbell</v>
      </c>
      <c r="L212" t="str">
        <f ca="1"/>
        <v>Drama</v>
      </c>
      <c r="M212">
        <f ca="1"/>
        <v>2019</v>
      </c>
      <c r="N212">
        <f ca="1"/>
        <v>310</v>
      </c>
      <c r="O212">
        <f ca="1"/>
        <v>25</v>
      </c>
      <c r="P212">
        <f ca="1"/>
        <v>45726</v>
      </c>
    </row>
    <row r="213" spans="1:16" x14ac:dyDescent="0.3">
      <c r="A213">
        <f ca="1"/>
        <v>40</v>
      </c>
      <c r="B213" t="str">
        <f ca="1"/>
        <v>When the Stars Fade</v>
      </c>
      <c r="C213" t="str">
        <f ca="1"/>
        <v>Natalie Allen</v>
      </c>
      <c r="D213" t="str">
        <f ca="1"/>
        <v>Romance</v>
      </c>
      <c r="E213">
        <f ca="1"/>
        <v>2018</v>
      </c>
      <c r="F213">
        <f ca="1"/>
        <v>290</v>
      </c>
      <c r="G213">
        <f ca="1"/>
        <v>23</v>
      </c>
      <c r="H213" s="6">
        <f ca="1"/>
        <v>45075</v>
      </c>
      <c r="I213">
        <f ca="1"/>
        <v>3</v>
      </c>
      <c r="J213" t="str">
        <f ca="1"/>
        <v>Whispers in the Wind</v>
      </c>
      <c r="K213" t="str">
        <f ca="1"/>
        <v>Sophia Bennett</v>
      </c>
      <c r="L213" t="str">
        <f ca="1"/>
        <v>Romance</v>
      </c>
      <c r="M213">
        <f ca="1"/>
        <v>2016</v>
      </c>
      <c r="N213">
        <f ca="1"/>
        <v>299</v>
      </c>
      <c r="O213">
        <f ca="1"/>
        <v>20</v>
      </c>
      <c r="P213">
        <f ca="1"/>
        <v>45670</v>
      </c>
    </row>
    <row r="214" spans="1:16" x14ac:dyDescent="0.3">
      <c r="A214">
        <f ca="1"/>
        <v>61</v>
      </c>
      <c r="B214" t="str">
        <f ca="1"/>
        <v>Beneath the Moon</v>
      </c>
      <c r="C214" t="str">
        <f ca="1"/>
        <v>Liam Thompson</v>
      </c>
      <c r="D214" t="str">
        <f ca="1"/>
        <v>Romance</v>
      </c>
      <c r="E214">
        <f ca="1"/>
        <v>2018</v>
      </c>
      <c r="F214">
        <f ca="1"/>
        <v>290</v>
      </c>
      <c r="G214">
        <f ca="1"/>
        <v>25</v>
      </c>
      <c r="H214" s="6">
        <f ca="1"/>
        <v>45534</v>
      </c>
      <c r="I214">
        <f ca="1"/>
        <v>40</v>
      </c>
      <c r="J214" t="str">
        <f ca="1"/>
        <v>When the Stars Fade</v>
      </c>
      <c r="K214" t="str">
        <f ca="1"/>
        <v>Natalie Allen</v>
      </c>
      <c r="L214" t="str">
        <f ca="1"/>
        <v>Romance</v>
      </c>
      <c r="M214">
        <f ca="1"/>
        <v>2018</v>
      </c>
      <c r="N214">
        <f ca="1"/>
        <v>290</v>
      </c>
      <c r="O214">
        <f ca="1"/>
        <v>23</v>
      </c>
      <c r="P214">
        <f ca="1"/>
        <v>45075</v>
      </c>
    </row>
    <row r="215" spans="1:16" x14ac:dyDescent="0.3">
      <c r="A215">
        <f ca="1"/>
        <v>10</v>
      </c>
      <c r="B215" t="str">
        <f ca="1"/>
        <v>Chronicles of Dawn</v>
      </c>
      <c r="C215" t="str">
        <f ca="1"/>
        <v>Charlotte Evans</v>
      </c>
      <c r="D215" t="str">
        <f ca="1"/>
        <v>Fantasy</v>
      </c>
      <c r="E215">
        <f ca="1"/>
        <v>2018</v>
      </c>
      <c r="F215">
        <f ca="1"/>
        <v>320.75</v>
      </c>
      <c r="G215">
        <f ca="1"/>
        <v>25</v>
      </c>
      <c r="H215" s="6">
        <f ca="1"/>
        <v>45271</v>
      </c>
      <c r="I215">
        <f ca="1"/>
        <v>61</v>
      </c>
      <c r="J215" t="str">
        <f ca="1"/>
        <v>Beneath the Moon</v>
      </c>
      <c r="K215" t="str">
        <f ca="1"/>
        <v>Liam Thompson</v>
      </c>
      <c r="L215" t="str">
        <f ca="1"/>
        <v>Romance</v>
      </c>
      <c r="M215">
        <f ca="1"/>
        <v>2018</v>
      </c>
      <c r="N215">
        <f ca="1"/>
        <v>290</v>
      </c>
      <c r="O215">
        <f ca="1"/>
        <v>25</v>
      </c>
      <c r="P215">
        <f ca="1"/>
        <v>45534</v>
      </c>
    </row>
    <row r="216" spans="1:16" x14ac:dyDescent="0.3">
      <c r="A216">
        <f ca="1"/>
        <v>32</v>
      </c>
      <c r="B216" t="str">
        <f ca="1"/>
        <v>Echoes of the Past</v>
      </c>
      <c r="C216" t="str">
        <f ca="1"/>
        <v>Lily Campbell</v>
      </c>
      <c r="D216" t="str">
        <f ca="1"/>
        <v>Drama</v>
      </c>
      <c r="E216">
        <f ca="1"/>
        <v>2019</v>
      </c>
      <c r="F216">
        <f ca="1"/>
        <v>310</v>
      </c>
      <c r="G216">
        <f ca="1"/>
        <v>25</v>
      </c>
      <c r="H216" s="6">
        <f ca="1"/>
        <v>45726</v>
      </c>
      <c r="I216">
        <f ca="1"/>
        <v>6</v>
      </c>
      <c r="J216" t="str">
        <f ca="1"/>
        <v>Fragments of Light</v>
      </c>
      <c r="K216" t="str">
        <f ca="1"/>
        <v>Ethan Hughes</v>
      </c>
      <c r="L216" t="str">
        <f ca="1"/>
        <v>Drama</v>
      </c>
      <c r="M216">
        <f ca="1"/>
        <v>2015</v>
      </c>
      <c r="N216">
        <f ca="1"/>
        <v>280.39999999999998</v>
      </c>
      <c r="O216">
        <f ca="1"/>
        <v>8</v>
      </c>
      <c r="P216">
        <f ca="1"/>
        <v>45304</v>
      </c>
    </row>
    <row r="217" spans="1:16" x14ac:dyDescent="0.3">
      <c r="A217">
        <f ca="1"/>
        <v>14</v>
      </c>
      <c r="B217" t="str">
        <f ca="1"/>
        <v>The Violet Garden</v>
      </c>
      <c r="C217" t="str">
        <f ca="1"/>
        <v>Amelia Green</v>
      </c>
      <c r="D217" t="str">
        <f ca="1"/>
        <v>Romance</v>
      </c>
      <c r="E217">
        <f ca="1"/>
        <v>2014</v>
      </c>
      <c r="F217">
        <f ca="1"/>
        <v>250.5</v>
      </c>
      <c r="G217">
        <f ca="1"/>
        <v>30</v>
      </c>
      <c r="H217" s="6">
        <f ca="1"/>
        <v>45705</v>
      </c>
      <c r="I217">
        <f ca="1"/>
        <v>14</v>
      </c>
      <c r="J217" t="str">
        <f ca="1"/>
        <v>The Violet Garden</v>
      </c>
      <c r="K217" t="str">
        <f ca="1"/>
        <v>Amelia Green</v>
      </c>
      <c r="L217" t="str">
        <f ca="1"/>
        <v>Romance</v>
      </c>
      <c r="M217">
        <f ca="1"/>
        <v>2014</v>
      </c>
      <c r="N217">
        <f ca="1"/>
        <v>250.5</v>
      </c>
      <c r="O217">
        <f ca="1"/>
        <v>30</v>
      </c>
      <c r="P217">
        <f ca="1"/>
        <v>45705</v>
      </c>
    </row>
  </sheetData>
  <conditionalFormatting sqref="F1">
    <cfRule type="top10" dxfId="45" priority="23" bottom="1" rank="10"/>
    <cfRule type="top10" dxfId="44" priority="24" bottom="1" rank="10"/>
    <cfRule type="top10" dxfId="43" priority="25" percent="1" rank="10"/>
    <cfRule type="top10" dxfId="42" priority="26" rank="10"/>
  </conditionalFormatting>
  <conditionalFormatting sqref="F112">
    <cfRule type="top10" dxfId="41" priority="9" bottom="1" rank="10"/>
    <cfRule type="top10" dxfId="40" priority="10" bottom="1" rank="10"/>
    <cfRule type="top10" dxfId="39" priority="11" percent="1" rank="10"/>
    <cfRule type="top10" dxfId="38" priority="12" rank="10"/>
  </conditionalFormatting>
  <conditionalFormatting sqref="G107:G111 G113:G1048576">
    <cfRule type="cellIs" dxfId="37" priority="51" operator="greaterThan">
      <formula>20</formula>
    </cfRule>
  </conditionalFormatting>
  <conditionalFormatting sqref="N1">
    <cfRule type="top10" dxfId="36" priority="1" bottom="1" rank="10"/>
    <cfRule type="top10" dxfId="35" priority="2" bottom="1" rank="10"/>
    <cfRule type="top10" dxfId="34" priority="3" percent="1" rank="10"/>
    <cfRule type="top10" dxfId="33" priority="4" rank="10"/>
  </conditionalFormatting>
  <conditionalFormatting sqref="N112">
    <cfRule type="top10" dxfId="32" priority="5" bottom="1" rank="10"/>
    <cfRule type="top10" dxfId="31" priority="6" bottom="1" rank="10"/>
    <cfRule type="top10" dxfId="30" priority="7" percent="1" rank="10"/>
    <cfRule type="top10" dxfId="29" priority="8" rank="10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E5D85-BB7B-442E-9484-E97D41374757}">
  <dimension ref="A1:R103"/>
  <sheetViews>
    <sheetView topLeftCell="A7" workbookViewId="0">
      <selection activeCell="I16" sqref="I16:P22"/>
    </sheetView>
  </sheetViews>
  <sheetFormatPr defaultRowHeight="14.4" x14ac:dyDescent="0.3"/>
  <cols>
    <col min="1" max="1" width="10.109375" bestFit="1" customWidth="1"/>
    <col min="2" max="2" width="24.5546875" bestFit="1" customWidth="1"/>
    <col min="3" max="3" width="15.5546875" bestFit="1" customWidth="1"/>
    <col min="4" max="4" width="18" bestFit="1" customWidth="1"/>
    <col min="5" max="5" width="16.21875" bestFit="1" customWidth="1"/>
    <col min="6" max="6" width="7.33203125" bestFit="1" customWidth="1"/>
    <col min="7" max="7" width="8.109375" bestFit="1" customWidth="1"/>
    <col min="9" max="9" width="9.5546875" bestFit="1" customWidth="1"/>
    <col min="10" max="10" width="7.5546875" bestFit="1" customWidth="1"/>
    <col min="11" max="11" width="24.5546875" bestFit="1" customWidth="1"/>
    <col min="12" max="12" width="14.109375" bestFit="1" customWidth="1"/>
    <col min="13" max="13" width="9.5546875" bestFit="1" customWidth="1"/>
    <col min="14" max="14" width="13.33203125" bestFit="1" customWidth="1"/>
    <col min="15" max="15" width="7" bestFit="1" customWidth="1"/>
    <col min="16" max="16" width="5.77734375" bestFit="1" customWidth="1"/>
    <col min="17" max="18" width="10.332031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I1" t="s">
        <v>3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224</v>
      </c>
      <c r="Q1" s="6" t="s">
        <v>229</v>
      </c>
      <c r="R1" s="7"/>
    </row>
    <row r="2" spans="1:18" x14ac:dyDescent="0.3">
      <c r="A2">
        <v>22</v>
      </c>
      <c r="B2" t="s">
        <v>57</v>
      </c>
      <c r="C2" t="s">
        <v>58</v>
      </c>
      <c r="D2" t="s">
        <v>14</v>
      </c>
      <c r="E2">
        <v>2019</v>
      </c>
      <c r="F2">
        <v>320</v>
      </c>
      <c r="G2">
        <v>22</v>
      </c>
      <c r="I2" t="s">
        <v>26</v>
      </c>
      <c r="J2">
        <v>24</v>
      </c>
      <c r="K2" t="s">
        <v>61</v>
      </c>
      <c r="L2" t="s">
        <v>62</v>
      </c>
      <c r="M2" t="s">
        <v>26</v>
      </c>
      <c r="N2">
        <v>2018</v>
      </c>
      <c r="O2">
        <v>410.9</v>
      </c>
      <c r="P2">
        <v>13</v>
      </c>
      <c r="Q2" s="7"/>
    </row>
    <row r="3" spans="1:18" x14ac:dyDescent="0.3">
      <c r="A3">
        <v>85</v>
      </c>
      <c r="B3" t="s">
        <v>185</v>
      </c>
      <c r="C3" t="s">
        <v>186</v>
      </c>
      <c r="D3" t="s">
        <v>23</v>
      </c>
      <c r="E3">
        <v>2019</v>
      </c>
      <c r="F3">
        <v>320.25</v>
      </c>
      <c r="G3">
        <v>17</v>
      </c>
      <c r="J3">
        <v>64</v>
      </c>
      <c r="K3" t="s">
        <v>143</v>
      </c>
      <c r="L3" t="s">
        <v>144</v>
      </c>
      <c r="M3" t="s">
        <v>26</v>
      </c>
      <c r="N3">
        <v>2021</v>
      </c>
      <c r="O3">
        <v>610.5</v>
      </c>
      <c r="P3">
        <v>8</v>
      </c>
      <c r="Q3" s="7"/>
    </row>
    <row r="4" spans="1:18" x14ac:dyDescent="0.3">
      <c r="A4">
        <v>24</v>
      </c>
      <c r="B4" t="s">
        <v>61</v>
      </c>
      <c r="C4" t="s">
        <v>62</v>
      </c>
      <c r="D4" t="s">
        <v>26</v>
      </c>
      <c r="E4">
        <v>2018</v>
      </c>
      <c r="F4">
        <v>410.9</v>
      </c>
      <c r="G4">
        <v>13</v>
      </c>
      <c r="J4">
        <v>73</v>
      </c>
      <c r="K4" t="s">
        <v>161</v>
      </c>
      <c r="L4" t="s">
        <v>162</v>
      </c>
      <c r="M4" t="s">
        <v>26</v>
      </c>
      <c r="N4">
        <v>2018</v>
      </c>
      <c r="O4">
        <v>380.75</v>
      </c>
      <c r="P4">
        <v>10</v>
      </c>
      <c r="Q4" s="7"/>
    </row>
    <row r="5" spans="1:18" x14ac:dyDescent="0.3">
      <c r="A5">
        <v>61</v>
      </c>
      <c r="B5" t="s">
        <v>137</v>
      </c>
      <c r="C5" t="s">
        <v>138</v>
      </c>
      <c r="D5" t="s">
        <v>14</v>
      </c>
      <c r="E5">
        <v>2018</v>
      </c>
      <c r="F5">
        <v>290</v>
      </c>
      <c r="G5">
        <v>25</v>
      </c>
      <c r="J5">
        <v>16</v>
      </c>
      <c r="K5" t="s">
        <v>44</v>
      </c>
      <c r="L5" t="s">
        <v>45</v>
      </c>
      <c r="M5" t="s">
        <v>26</v>
      </c>
      <c r="N5">
        <v>2017</v>
      </c>
      <c r="O5">
        <v>380.9</v>
      </c>
      <c r="P5">
        <v>19</v>
      </c>
      <c r="Q5" s="7"/>
    </row>
    <row r="6" spans="1:18" x14ac:dyDescent="0.3">
      <c r="A6">
        <v>33</v>
      </c>
      <c r="B6" t="s">
        <v>81</v>
      </c>
      <c r="C6" t="s">
        <v>82</v>
      </c>
      <c r="D6" t="s">
        <v>11</v>
      </c>
      <c r="E6">
        <v>2022</v>
      </c>
      <c r="F6">
        <v>720</v>
      </c>
      <c r="G6">
        <v>8</v>
      </c>
      <c r="J6">
        <v>59</v>
      </c>
      <c r="K6" t="s">
        <v>133</v>
      </c>
      <c r="L6" t="s">
        <v>134</v>
      </c>
      <c r="M6" t="s">
        <v>26</v>
      </c>
      <c r="N6">
        <v>2020</v>
      </c>
      <c r="O6">
        <v>550.9</v>
      </c>
      <c r="P6">
        <v>9</v>
      </c>
      <c r="Q6" s="7"/>
    </row>
    <row r="7" spans="1:18" x14ac:dyDescent="0.3">
      <c r="A7">
        <v>54</v>
      </c>
      <c r="B7" t="s">
        <v>123</v>
      </c>
      <c r="C7" t="s">
        <v>124</v>
      </c>
      <c r="D7" t="s">
        <v>17</v>
      </c>
      <c r="E7">
        <v>2021</v>
      </c>
      <c r="F7">
        <v>490.75</v>
      </c>
      <c r="G7">
        <v>8</v>
      </c>
      <c r="J7">
        <v>89</v>
      </c>
      <c r="K7" t="s">
        <v>193</v>
      </c>
      <c r="L7" t="s">
        <v>45</v>
      </c>
      <c r="M7" t="s">
        <v>26</v>
      </c>
      <c r="N7">
        <v>2021</v>
      </c>
      <c r="O7">
        <v>610.4</v>
      </c>
      <c r="P7">
        <v>10</v>
      </c>
      <c r="Q7" s="7"/>
    </row>
    <row r="8" spans="1:18" x14ac:dyDescent="0.3">
      <c r="A8">
        <v>56</v>
      </c>
      <c r="B8" t="s">
        <v>127</v>
      </c>
      <c r="C8" t="s">
        <v>128</v>
      </c>
      <c r="D8" t="s">
        <v>23</v>
      </c>
      <c r="E8">
        <v>2020</v>
      </c>
      <c r="F8">
        <v>330</v>
      </c>
      <c r="G8">
        <v>20</v>
      </c>
      <c r="J8">
        <v>50</v>
      </c>
      <c r="K8" t="s">
        <v>115</v>
      </c>
      <c r="L8" t="s">
        <v>116</v>
      </c>
      <c r="M8" t="s">
        <v>26</v>
      </c>
      <c r="N8">
        <v>2022</v>
      </c>
      <c r="O8">
        <v>610.5</v>
      </c>
      <c r="P8">
        <v>7</v>
      </c>
      <c r="Q8" s="7"/>
    </row>
    <row r="9" spans="1:18" x14ac:dyDescent="0.3">
      <c r="A9">
        <v>10</v>
      </c>
      <c r="B9" t="s">
        <v>32</v>
      </c>
      <c r="C9" t="s">
        <v>33</v>
      </c>
      <c r="D9" t="s">
        <v>20</v>
      </c>
      <c r="E9">
        <v>2018</v>
      </c>
      <c r="F9">
        <v>320.75</v>
      </c>
      <c r="G9">
        <v>25</v>
      </c>
      <c r="J9">
        <v>44</v>
      </c>
      <c r="K9" t="s">
        <v>103</v>
      </c>
      <c r="L9" t="s">
        <v>104</v>
      </c>
      <c r="M9" t="s">
        <v>26</v>
      </c>
      <c r="N9">
        <v>2017</v>
      </c>
      <c r="O9">
        <v>360.9</v>
      </c>
      <c r="P9">
        <v>17</v>
      </c>
      <c r="Q9" s="7"/>
    </row>
    <row r="10" spans="1:18" x14ac:dyDescent="0.3">
      <c r="A10">
        <v>11</v>
      </c>
      <c r="B10" t="s">
        <v>34</v>
      </c>
      <c r="C10" t="s">
        <v>35</v>
      </c>
      <c r="D10" t="s">
        <v>23</v>
      </c>
      <c r="E10">
        <v>2020</v>
      </c>
      <c r="F10">
        <v>350</v>
      </c>
      <c r="G10">
        <v>11</v>
      </c>
      <c r="J10">
        <v>7</v>
      </c>
      <c r="K10" t="s">
        <v>24</v>
      </c>
      <c r="L10" t="s">
        <v>25</v>
      </c>
      <c r="M10" t="s">
        <v>26</v>
      </c>
      <c r="N10">
        <v>2022</v>
      </c>
      <c r="O10">
        <v>610</v>
      </c>
      <c r="P10">
        <v>7</v>
      </c>
      <c r="Q10" s="7"/>
    </row>
    <row r="11" spans="1:18" x14ac:dyDescent="0.3">
      <c r="A11">
        <v>84</v>
      </c>
      <c r="B11" t="s">
        <v>183</v>
      </c>
      <c r="C11" t="s">
        <v>184</v>
      </c>
      <c r="D11" t="s">
        <v>11</v>
      </c>
      <c r="E11">
        <v>2021</v>
      </c>
      <c r="F11">
        <v>680.9</v>
      </c>
      <c r="G11">
        <v>7</v>
      </c>
      <c r="J11">
        <v>34</v>
      </c>
      <c r="K11" t="s">
        <v>83</v>
      </c>
      <c r="L11" t="s">
        <v>84</v>
      </c>
      <c r="M11" t="s">
        <v>26</v>
      </c>
      <c r="N11">
        <v>2021</v>
      </c>
      <c r="O11">
        <v>590.5</v>
      </c>
      <c r="P11">
        <v>11</v>
      </c>
      <c r="Q11" s="7"/>
    </row>
    <row r="12" spans="1:18" x14ac:dyDescent="0.3">
      <c r="A12">
        <v>58</v>
      </c>
      <c r="B12" t="s">
        <v>131</v>
      </c>
      <c r="C12" t="s">
        <v>132</v>
      </c>
      <c r="D12" t="s">
        <v>20</v>
      </c>
      <c r="E12">
        <v>2021</v>
      </c>
      <c r="F12">
        <v>590</v>
      </c>
      <c r="G12">
        <v>10</v>
      </c>
      <c r="J12">
        <v>82</v>
      </c>
      <c r="K12" t="s">
        <v>179</v>
      </c>
      <c r="L12" t="s">
        <v>180</v>
      </c>
      <c r="M12" t="s">
        <v>26</v>
      </c>
      <c r="N12">
        <v>2019</v>
      </c>
      <c r="O12">
        <v>400</v>
      </c>
      <c r="P12">
        <v>12</v>
      </c>
      <c r="Q12" s="7"/>
    </row>
    <row r="13" spans="1:18" x14ac:dyDescent="0.3">
      <c r="A13">
        <v>64</v>
      </c>
      <c r="B13" t="s">
        <v>143</v>
      </c>
      <c r="C13" t="s">
        <v>144</v>
      </c>
      <c r="D13" t="s">
        <v>26</v>
      </c>
      <c r="E13">
        <v>2021</v>
      </c>
      <c r="F13">
        <v>610.5</v>
      </c>
      <c r="G13">
        <v>8</v>
      </c>
      <c r="Q13" s="7"/>
    </row>
    <row r="14" spans="1:18" x14ac:dyDescent="0.3">
      <c r="A14">
        <v>37</v>
      </c>
      <c r="B14" t="s">
        <v>89</v>
      </c>
      <c r="C14" t="s">
        <v>90</v>
      </c>
      <c r="D14" t="s">
        <v>20</v>
      </c>
      <c r="E14">
        <v>2019</v>
      </c>
      <c r="F14">
        <v>530.20000000000005</v>
      </c>
      <c r="G14">
        <v>10</v>
      </c>
      <c r="Q14" s="7"/>
    </row>
    <row r="15" spans="1:18" x14ac:dyDescent="0.3">
      <c r="A15">
        <v>73</v>
      </c>
      <c r="B15" t="s">
        <v>161</v>
      </c>
      <c r="C15" t="s">
        <v>162</v>
      </c>
      <c r="D15" t="s">
        <v>26</v>
      </c>
      <c r="E15">
        <v>2018</v>
      </c>
      <c r="F15">
        <v>380.75</v>
      </c>
      <c r="G15">
        <v>10</v>
      </c>
      <c r="Q15" s="7"/>
    </row>
    <row r="16" spans="1:18" ht="15.6" customHeight="1" x14ac:dyDescent="0.3">
      <c r="A16">
        <v>41</v>
      </c>
      <c r="B16" t="s">
        <v>97</v>
      </c>
      <c r="C16" t="s">
        <v>98</v>
      </c>
      <c r="D16" t="s">
        <v>54</v>
      </c>
      <c r="E16">
        <v>2019</v>
      </c>
      <c r="F16">
        <v>520.75</v>
      </c>
      <c r="G16">
        <v>9</v>
      </c>
      <c r="I16" s="8" t="s">
        <v>230</v>
      </c>
      <c r="J16" s="8"/>
      <c r="K16" s="8"/>
      <c r="L16" s="8"/>
      <c r="M16" s="8"/>
      <c r="N16" s="8"/>
      <c r="O16" s="8"/>
      <c r="P16" s="8"/>
      <c r="Q16" s="7"/>
    </row>
    <row r="17" spans="1:17" ht="15.6" customHeight="1" x14ac:dyDescent="0.3">
      <c r="A17">
        <v>87</v>
      </c>
      <c r="B17" t="s">
        <v>189</v>
      </c>
      <c r="C17" t="s">
        <v>190</v>
      </c>
      <c r="D17" t="s">
        <v>20</v>
      </c>
      <c r="E17">
        <v>2018</v>
      </c>
      <c r="F17">
        <v>560.75</v>
      </c>
      <c r="G17">
        <v>9</v>
      </c>
      <c r="I17" s="8"/>
      <c r="J17" s="8"/>
      <c r="K17" s="8"/>
      <c r="L17" s="8"/>
      <c r="M17" s="8"/>
      <c r="N17" s="8"/>
      <c r="O17" s="8"/>
      <c r="P17" s="8"/>
      <c r="Q17" s="7"/>
    </row>
    <row r="18" spans="1:17" ht="15.6" customHeight="1" x14ac:dyDescent="0.3">
      <c r="A18">
        <v>19</v>
      </c>
      <c r="B18" t="s">
        <v>50</v>
      </c>
      <c r="C18" t="s">
        <v>51</v>
      </c>
      <c r="D18" t="s">
        <v>20</v>
      </c>
      <c r="E18">
        <v>2019</v>
      </c>
      <c r="F18">
        <v>560.5</v>
      </c>
      <c r="G18">
        <v>10</v>
      </c>
      <c r="I18" s="8"/>
      <c r="J18" s="8"/>
      <c r="K18" s="8"/>
      <c r="L18" s="8"/>
      <c r="M18" s="8"/>
      <c r="N18" s="8"/>
      <c r="O18" s="8"/>
      <c r="P18" s="8"/>
      <c r="Q18" s="7"/>
    </row>
    <row r="19" spans="1:17" ht="15.6" customHeight="1" x14ac:dyDescent="0.3">
      <c r="A19">
        <v>62</v>
      </c>
      <c r="B19" t="s">
        <v>139</v>
      </c>
      <c r="C19" t="s">
        <v>140</v>
      </c>
      <c r="D19" t="s">
        <v>11</v>
      </c>
      <c r="E19">
        <v>2022</v>
      </c>
      <c r="F19">
        <v>690</v>
      </c>
      <c r="G19">
        <v>7</v>
      </c>
      <c r="I19" s="8"/>
      <c r="J19" s="8"/>
      <c r="K19" s="8"/>
      <c r="L19" s="8"/>
      <c r="M19" s="8"/>
      <c r="N19" s="8"/>
      <c r="O19" s="8"/>
      <c r="P19" s="8"/>
      <c r="Q19" s="7"/>
    </row>
    <row r="20" spans="1:17" ht="15.6" customHeight="1" x14ac:dyDescent="0.3">
      <c r="A20">
        <v>69</v>
      </c>
      <c r="B20" t="s">
        <v>153</v>
      </c>
      <c r="C20" t="s">
        <v>154</v>
      </c>
      <c r="D20" t="s">
        <v>23</v>
      </c>
      <c r="E20">
        <v>2019</v>
      </c>
      <c r="F20">
        <v>310.5</v>
      </c>
      <c r="G20">
        <v>17</v>
      </c>
      <c r="I20" s="8"/>
      <c r="J20" s="8"/>
      <c r="K20" s="8"/>
      <c r="L20" s="8"/>
      <c r="M20" s="8"/>
      <c r="N20" s="8"/>
      <c r="O20" s="8"/>
      <c r="P20" s="8"/>
      <c r="Q20" s="7"/>
    </row>
    <row r="21" spans="1:17" ht="15.6" customHeight="1" x14ac:dyDescent="0.3">
      <c r="A21">
        <v>93</v>
      </c>
      <c r="B21" t="s">
        <v>200</v>
      </c>
      <c r="C21" t="s">
        <v>201</v>
      </c>
      <c r="D21" t="s">
        <v>31</v>
      </c>
      <c r="E21">
        <v>2020</v>
      </c>
      <c r="F21">
        <v>470.25</v>
      </c>
      <c r="G21">
        <v>11</v>
      </c>
      <c r="I21" s="8"/>
      <c r="J21" s="8"/>
      <c r="K21" s="8"/>
      <c r="L21" s="8"/>
      <c r="M21" s="8"/>
      <c r="N21" s="8"/>
      <c r="O21" s="8"/>
      <c r="P21" s="8"/>
      <c r="Q21" s="7"/>
    </row>
    <row r="22" spans="1:17" ht="15.6" customHeight="1" x14ac:dyDescent="0.3">
      <c r="A22">
        <v>52</v>
      </c>
      <c r="B22" t="s">
        <v>119</v>
      </c>
      <c r="C22" t="s">
        <v>120</v>
      </c>
      <c r="D22" t="s">
        <v>23</v>
      </c>
      <c r="E22">
        <v>2019</v>
      </c>
      <c r="F22">
        <v>310.25</v>
      </c>
      <c r="G22">
        <v>22</v>
      </c>
      <c r="I22" s="8"/>
      <c r="J22" s="8"/>
      <c r="K22" s="8"/>
      <c r="L22" s="8"/>
      <c r="M22" s="8"/>
      <c r="N22" s="8"/>
      <c r="O22" s="8"/>
      <c r="P22" s="8"/>
      <c r="Q22" s="7"/>
    </row>
    <row r="23" spans="1:17" x14ac:dyDescent="0.3">
      <c r="A23">
        <v>79</v>
      </c>
      <c r="B23" t="s">
        <v>172</v>
      </c>
      <c r="C23" t="s">
        <v>173</v>
      </c>
      <c r="D23" t="s">
        <v>23</v>
      </c>
      <c r="E23">
        <v>2020</v>
      </c>
      <c r="F23">
        <v>310.89999999999998</v>
      </c>
      <c r="G23">
        <v>22</v>
      </c>
      <c r="Q23" s="7"/>
    </row>
    <row r="24" spans="1:17" x14ac:dyDescent="0.3">
      <c r="A24">
        <v>32</v>
      </c>
      <c r="B24" t="s">
        <v>79</v>
      </c>
      <c r="C24" t="s">
        <v>80</v>
      </c>
      <c r="D24" t="s">
        <v>23</v>
      </c>
      <c r="E24">
        <v>2019</v>
      </c>
      <c r="F24">
        <v>310</v>
      </c>
      <c r="G24">
        <v>25</v>
      </c>
      <c r="Q24" s="7"/>
    </row>
    <row r="25" spans="1:17" x14ac:dyDescent="0.3">
      <c r="A25">
        <v>2</v>
      </c>
      <c r="B25" t="s">
        <v>9</v>
      </c>
      <c r="C25" t="s">
        <v>10</v>
      </c>
      <c r="D25" t="s">
        <v>11</v>
      </c>
      <c r="E25">
        <v>2020</v>
      </c>
      <c r="F25">
        <v>499.5</v>
      </c>
      <c r="G25">
        <v>9</v>
      </c>
      <c r="Q25" s="7"/>
    </row>
    <row r="26" spans="1:17" x14ac:dyDescent="0.3">
      <c r="A26">
        <v>16</v>
      </c>
      <c r="B26" t="s">
        <v>44</v>
      </c>
      <c r="C26" t="s">
        <v>45</v>
      </c>
      <c r="D26" t="s">
        <v>26</v>
      </c>
      <c r="E26">
        <v>2017</v>
      </c>
      <c r="F26">
        <v>380.9</v>
      </c>
      <c r="G26">
        <v>19</v>
      </c>
      <c r="Q26" s="7"/>
    </row>
    <row r="27" spans="1:17" x14ac:dyDescent="0.3">
      <c r="A27">
        <v>105</v>
      </c>
      <c r="B27" t="s">
        <v>222</v>
      </c>
      <c r="C27" t="s">
        <v>223</v>
      </c>
      <c r="D27" t="s">
        <v>11</v>
      </c>
      <c r="E27">
        <v>2020</v>
      </c>
      <c r="F27">
        <v>670</v>
      </c>
      <c r="G27">
        <v>7</v>
      </c>
      <c r="Q27" s="7"/>
    </row>
    <row r="28" spans="1:17" x14ac:dyDescent="0.3">
      <c r="A28">
        <v>88</v>
      </c>
      <c r="B28" t="s">
        <v>191</v>
      </c>
      <c r="C28" t="s">
        <v>192</v>
      </c>
      <c r="D28" t="s">
        <v>31</v>
      </c>
      <c r="E28">
        <v>2020</v>
      </c>
      <c r="F28">
        <v>500.3</v>
      </c>
      <c r="G28">
        <v>14</v>
      </c>
      <c r="Q28" s="7"/>
    </row>
    <row r="29" spans="1:17" x14ac:dyDescent="0.3">
      <c r="A29">
        <v>51</v>
      </c>
      <c r="B29" t="s">
        <v>117</v>
      </c>
      <c r="C29" t="s">
        <v>118</v>
      </c>
      <c r="D29" t="s">
        <v>11</v>
      </c>
      <c r="E29">
        <v>2018</v>
      </c>
      <c r="F29">
        <v>570.9</v>
      </c>
      <c r="G29">
        <v>10</v>
      </c>
      <c r="Q29" s="7"/>
    </row>
    <row r="30" spans="1:17" x14ac:dyDescent="0.3">
      <c r="A30">
        <v>25</v>
      </c>
      <c r="B30" t="s">
        <v>63</v>
      </c>
      <c r="C30" t="s">
        <v>64</v>
      </c>
      <c r="D30" t="s">
        <v>23</v>
      </c>
      <c r="E30">
        <v>2017</v>
      </c>
      <c r="F30">
        <v>360</v>
      </c>
      <c r="G30">
        <v>18</v>
      </c>
      <c r="Q30" s="7"/>
    </row>
    <row r="31" spans="1:17" x14ac:dyDescent="0.3">
      <c r="A31">
        <v>59</v>
      </c>
      <c r="B31" t="s">
        <v>133</v>
      </c>
      <c r="C31" t="s">
        <v>134</v>
      </c>
      <c r="D31" t="s">
        <v>26</v>
      </c>
      <c r="E31">
        <v>2020</v>
      </c>
      <c r="F31">
        <v>550.9</v>
      </c>
      <c r="G31">
        <v>9</v>
      </c>
      <c r="Q31" s="7"/>
    </row>
    <row r="32" spans="1:17" x14ac:dyDescent="0.3">
      <c r="A32">
        <v>6</v>
      </c>
      <c r="B32" t="s">
        <v>21</v>
      </c>
      <c r="C32" t="s">
        <v>22</v>
      </c>
      <c r="D32" t="s">
        <v>23</v>
      </c>
      <c r="E32">
        <v>2015</v>
      </c>
      <c r="F32">
        <v>280.39999999999998</v>
      </c>
      <c r="G32">
        <v>8</v>
      </c>
      <c r="Q32" s="7"/>
    </row>
    <row r="33" spans="1:17" x14ac:dyDescent="0.3">
      <c r="A33">
        <v>68</v>
      </c>
      <c r="B33" t="s">
        <v>151</v>
      </c>
      <c r="C33" t="s">
        <v>152</v>
      </c>
      <c r="D33" t="s">
        <v>14</v>
      </c>
      <c r="E33">
        <v>2021</v>
      </c>
      <c r="F33">
        <v>320</v>
      </c>
      <c r="G33">
        <v>21</v>
      </c>
      <c r="Q33" s="7"/>
    </row>
    <row r="34" spans="1:17" x14ac:dyDescent="0.3">
      <c r="A34">
        <v>27</v>
      </c>
      <c r="B34" t="s">
        <v>67</v>
      </c>
      <c r="C34" t="s">
        <v>68</v>
      </c>
      <c r="D34" t="s">
        <v>8</v>
      </c>
      <c r="E34">
        <v>2015</v>
      </c>
      <c r="F34">
        <v>340</v>
      </c>
      <c r="G34">
        <v>20</v>
      </c>
      <c r="Q34" s="7"/>
    </row>
    <row r="35" spans="1:17" x14ac:dyDescent="0.3">
      <c r="A35">
        <v>45</v>
      </c>
      <c r="B35" t="s">
        <v>105</v>
      </c>
      <c r="C35" t="s">
        <v>106</v>
      </c>
      <c r="D35" t="s">
        <v>54</v>
      </c>
      <c r="E35">
        <v>2019</v>
      </c>
      <c r="F35">
        <v>420</v>
      </c>
      <c r="G35">
        <v>15</v>
      </c>
      <c r="Q35" s="7"/>
    </row>
    <row r="36" spans="1:17" x14ac:dyDescent="0.3">
      <c r="A36">
        <v>103</v>
      </c>
      <c r="B36" t="s">
        <v>219</v>
      </c>
      <c r="C36" t="s">
        <v>220</v>
      </c>
      <c r="D36" t="s">
        <v>31</v>
      </c>
      <c r="E36">
        <v>2021</v>
      </c>
      <c r="F36">
        <v>510</v>
      </c>
      <c r="G36">
        <v>9</v>
      </c>
      <c r="Q36" s="7"/>
    </row>
    <row r="37" spans="1:17" x14ac:dyDescent="0.3">
      <c r="A37">
        <v>102</v>
      </c>
      <c r="B37" t="s">
        <v>217</v>
      </c>
      <c r="C37" t="s">
        <v>218</v>
      </c>
      <c r="D37" t="s">
        <v>14</v>
      </c>
      <c r="E37">
        <v>2020</v>
      </c>
      <c r="F37">
        <v>320.5</v>
      </c>
      <c r="G37">
        <v>23</v>
      </c>
      <c r="Q37" s="7"/>
    </row>
    <row r="38" spans="1:17" x14ac:dyDescent="0.3">
      <c r="A38">
        <v>47</v>
      </c>
      <c r="B38" t="s">
        <v>109</v>
      </c>
      <c r="C38" t="s">
        <v>110</v>
      </c>
      <c r="D38" t="s">
        <v>11</v>
      </c>
      <c r="E38">
        <v>2021</v>
      </c>
      <c r="F38">
        <v>680.75</v>
      </c>
      <c r="G38">
        <v>6</v>
      </c>
      <c r="Q38" s="7"/>
    </row>
    <row r="39" spans="1:17" x14ac:dyDescent="0.3">
      <c r="A39">
        <v>92</v>
      </c>
      <c r="B39" t="s">
        <v>198</v>
      </c>
      <c r="C39" t="s">
        <v>199</v>
      </c>
      <c r="D39" t="s">
        <v>14</v>
      </c>
      <c r="E39">
        <v>2022</v>
      </c>
      <c r="F39">
        <v>310</v>
      </c>
      <c r="G39">
        <v>18</v>
      </c>
      <c r="Q39" s="7"/>
    </row>
    <row r="40" spans="1:17" x14ac:dyDescent="0.3">
      <c r="A40">
        <v>46</v>
      </c>
      <c r="B40" t="s">
        <v>107</v>
      </c>
      <c r="C40" t="s">
        <v>108</v>
      </c>
      <c r="D40" t="s">
        <v>20</v>
      </c>
      <c r="E40">
        <v>2020</v>
      </c>
      <c r="F40">
        <v>550.29999999999995</v>
      </c>
      <c r="G40">
        <v>10</v>
      </c>
      <c r="Q40" s="7"/>
    </row>
    <row r="41" spans="1:17" x14ac:dyDescent="0.3">
      <c r="A41">
        <v>70</v>
      </c>
      <c r="B41" t="s">
        <v>155</v>
      </c>
      <c r="C41" t="s">
        <v>156</v>
      </c>
      <c r="D41" t="s">
        <v>11</v>
      </c>
      <c r="E41">
        <v>2020</v>
      </c>
      <c r="F41">
        <v>720</v>
      </c>
      <c r="G41">
        <v>8</v>
      </c>
      <c r="Q41" s="7"/>
    </row>
    <row r="42" spans="1:17" x14ac:dyDescent="0.3">
      <c r="A42">
        <v>35</v>
      </c>
      <c r="B42" t="s">
        <v>85</v>
      </c>
      <c r="C42" t="s">
        <v>86</v>
      </c>
      <c r="D42" t="s">
        <v>14</v>
      </c>
      <c r="E42">
        <v>2017</v>
      </c>
      <c r="F42">
        <v>330.75</v>
      </c>
      <c r="G42">
        <v>19</v>
      </c>
      <c r="Q42" s="7"/>
    </row>
    <row r="43" spans="1:17" x14ac:dyDescent="0.3">
      <c r="A43">
        <v>17</v>
      </c>
      <c r="B43" t="s">
        <v>46</v>
      </c>
      <c r="C43" t="s">
        <v>47</v>
      </c>
      <c r="D43" t="s">
        <v>8</v>
      </c>
      <c r="E43">
        <v>2021</v>
      </c>
      <c r="F43">
        <v>510.45</v>
      </c>
      <c r="G43">
        <v>8</v>
      </c>
      <c r="Q43" s="7"/>
    </row>
    <row r="44" spans="1:17" x14ac:dyDescent="0.3">
      <c r="A44">
        <v>5</v>
      </c>
      <c r="B44" t="s">
        <v>18</v>
      </c>
      <c r="C44" t="s">
        <v>19</v>
      </c>
      <c r="D44" t="s">
        <v>20</v>
      </c>
      <c r="E44">
        <v>2021</v>
      </c>
      <c r="F44">
        <v>520.75</v>
      </c>
      <c r="G44">
        <v>10</v>
      </c>
      <c r="Q44" s="7"/>
    </row>
    <row r="45" spans="1:17" x14ac:dyDescent="0.3">
      <c r="A45">
        <v>97</v>
      </c>
      <c r="B45" t="s">
        <v>207</v>
      </c>
      <c r="C45" t="s">
        <v>208</v>
      </c>
      <c r="D45" t="s">
        <v>20</v>
      </c>
      <c r="E45">
        <v>2021</v>
      </c>
      <c r="F45">
        <v>620</v>
      </c>
      <c r="G45">
        <v>7</v>
      </c>
      <c r="Q45" s="7"/>
    </row>
    <row r="46" spans="1:17" x14ac:dyDescent="0.3">
      <c r="A46">
        <v>28</v>
      </c>
      <c r="B46" t="s">
        <v>69</v>
      </c>
      <c r="C46" t="s">
        <v>70</v>
      </c>
      <c r="D46" t="s">
        <v>71</v>
      </c>
      <c r="E46">
        <v>2020</v>
      </c>
      <c r="F46">
        <v>420</v>
      </c>
      <c r="G46">
        <v>15</v>
      </c>
      <c r="Q46" s="7"/>
    </row>
    <row r="47" spans="1:17" x14ac:dyDescent="0.3">
      <c r="A47">
        <v>66</v>
      </c>
      <c r="B47" t="s">
        <v>147</v>
      </c>
      <c r="C47" t="s">
        <v>148</v>
      </c>
      <c r="D47" t="s">
        <v>11</v>
      </c>
      <c r="E47">
        <v>2019</v>
      </c>
      <c r="F47">
        <v>670.1</v>
      </c>
      <c r="G47">
        <v>6</v>
      </c>
      <c r="Q47" s="7"/>
    </row>
    <row r="48" spans="1:17" x14ac:dyDescent="0.3">
      <c r="A48">
        <v>36</v>
      </c>
      <c r="B48" t="s">
        <v>87</v>
      </c>
      <c r="C48" t="s">
        <v>88</v>
      </c>
      <c r="D48" t="s">
        <v>20</v>
      </c>
      <c r="E48">
        <v>2018</v>
      </c>
      <c r="F48">
        <v>470.1</v>
      </c>
      <c r="G48">
        <v>14</v>
      </c>
      <c r="Q48" s="7"/>
    </row>
    <row r="49" spans="1:17" x14ac:dyDescent="0.3">
      <c r="A49">
        <v>77</v>
      </c>
      <c r="B49" t="s">
        <v>169</v>
      </c>
      <c r="C49" t="s">
        <v>170</v>
      </c>
      <c r="D49" t="s">
        <v>31</v>
      </c>
      <c r="E49">
        <v>2018</v>
      </c>
      <c r="F49">
        <v>480.5</v>
      </c>
      <c r="G49">
        <v>16</v>
      </c>
      <c r="Q49" s="7"/>
    </row>
    <row r="50" spans="1:17" x14ac:dyDescent="0.3">
      <c r="A50">
        <v>80</v>
      </c>
      <c r="B50" t="s">
        <v>174</v>
      </c>
      <c r="C50" t="s">
        <v>175</v>
      </c>
      <c r="D50" t="s">
        <v>176</v>
      </c>
      <c r="E50">
        <v>2021</v>
      </c>
      <c r="F50">
        <v>610</v>
      </c>
      <c r="G50">
        <v>8</v>
      </c>
      <c r="Q50" s="7"/>
    </row>
    <row r="51" spans="1:17" x14ac:dyDescent="0.3">
      <c r="A51">
        <v>99</v>
      </c>
      <c r="B51" t="s">
        <v>211</v>
      </c>
      <c r="C51" t="s">
        <v>212</v>
      </c>
      <c r="D51" t="s">
        <v>20</v>
      </c>
      <c r="E51">
        <v>2020</v>
      </c>
      <c r="F51">
        <v>540</v>
      </c>
      <c r="G51">
        <v>9</v>
      </c>
      <c r="Q51" s="7"/>
    </row>
    <row r="52" spans="1:17" x14ac:dyDescent="0.3">
      <c r="A52">
        <v>74</v>
      </c>
      <c r="B52" t="s">
        <v>163</v>
      </c>
      <c r="C52" t="s">
        <v>164</v>
      </c>
      <c r="D52" t="s">
        <v>20</v>
      </c>
      <c r="E52">
        <v>2019</v>
      </c>
      <c r="F52">
        <v>490.1</v>
      </c>
      <c r="G52">
        <v>13</v>
      </c>
      <c r="Q52" s="7"/>
    </row>
    <row r="53" spans="1:17" x14ac:dyDescent="0.3">
      <c r="A53">
        <v>98</v>
      </c>
      <c r="B53" t="s">
        <v>209</v>
      </c>
      <c r="C53" t="s">
        <v>210</v>
      </c>
      <c r="D53" t="s">
        <v>11</v>
      </c>
      <c r="E53">
        <v>2022</v>
      </c>
      <c r="F53">
        <v>700.25</v>
      </c>
      <c r="G53">
        <v>8</v>
      </c>
      <c r="Q53" s="7"/>
    </row>
    <row r="54" spans="1:17" x14ac:dyDescent="0.3">
      <c r="A54">
        <v>89</v>
      </c>
      <c r="B54" t="s">
        <v>193</v>
      </c>
      <c r="C54" t="s">
        <v>45</v>
      </c>
      <c r="D54" t="s">
        <v>26</v>
      </c>
      <c r="E54">
        <v>2021</v>
      </c>
      <c r="F54">
        <v>610.4</v>
      </c>
      <c r="G54">
        <v>10</v>
      </c>
      <c r="Q54" s="7"/>
    </row>
    <row r="55" spans="1:17" x14ac:dyDescent="0.3">
      <c r="A55">
        <v>50</v>
      </c>
      <c r="B55" t="s">
        <v>115</v>
      </c>
      <c r="C55" t="s">
        <v>116</v>
      </c>
      <c r="D55" t="s">
        <v>26</v>
      </c>
      <c r="E55">
        <v>2022</v>
      </c>
      <c r="F55">
        <v>610.5</v>
      </c>
      <c r="G55">
        <v>7</v>
      </c>
    </row>
    <row r="56" spans="1:17" x14ac:dyDescent="0.3">
      <c r="A56">
        <v>67</v>
      </c>
      <c r="B56" t="s">
        <v>149</v>
      </c>
      <c r="C56" t="s">
        <v>150</v>
      </c>
      <c r="D56" t="s">
        <v>20</v>
      </c>
      <c r="E56">
        <v>2017</v>
      </c>
      <c r="F56">
        <v>450.9</v>
      </c>
      <c r="G56">
        <v>18</v>
      </c>
    </row>
    <row r="57" spans="1:17" x14ac:dyDescent="0.3">
      <c r="A57">
        <v>83</v>
      </c>
      <c r="B57" t="s">
        <v>181</v>
      </c>
      <c r="C57" t="s">
        <v>182</v>
      </c>
      <c r="D57" t="s">
        <v>20</v>
      </c>
      <c r="E57">
        <v>2020</v>
      </c>
      <c r="F57">
        <v>520.1</v>
      </c>
      <c r="G57">
        <v>9</v>
      </c>
    </row>
    <row r="58" spans="1:17" x14ac:dyDescent="0.3">
      <c r="A58">
        <v>101</v>
      </c>
      <c r="B58" t="s">
        <v>215</v>
      </c>
      <c r="C58" t="s">
        <v>216</v>
      </c>
      <c r="D58" t="s">
        <v>11</v>
      </c>
      <c r="E58">
        <v>2019</v>
      </c>
      <c r="F58">
        <v>680</v>
      </c>
      <c r="G58">
        <v>7</v>
      </c>
    </row>
    <row r="59" spans="1:17" x14ac:dyDescent="0.3">
      <c r="A59">
        <v>71</v>
      </c>
      <c r="B59" t="s">
        <v>157</v>
      </c>
      <c r="C59" t="s">
        <v>158</v>
      </c>
      <c r="D59" t="s">
        <v>31</v>
      </c>
      <c r="E59">
        <v>2022</v>
      </c>
      <c r="F59">
        <v>510.4</v>
      </c>
      <c r="G59">
        <v>9</v>
      </c>
    </row>
    <row r="60" spans="1:17" x14ac:dyDescent="0.3">
      <c r="A60">
        <v>9</v>
      </c>
      <c r="B60" t="s">
        <v>29</v>
      </c>
      <c r="C60" t="s">
        <v>30</v>
      </c>
      <c r="D60" t="s">
        <v>31</v>
      </c>
      <c r="E60">
        <v>2019</v>
      </c>
      <c r="F60">
        <v>540</v>
      </c>
      <c r="G60">
        <v>15</v>
      </c>
    </row>
    <row r="61" spans="1:17" x14ac:dyDescent="0.3">
      <c r="A61">
        <v>104</v>
      </c>
      <c r="B61" t="s">
        <v>221</v>
      </c>
      <c r="C61" t="s">
        <v>150</v>
      </c>
      <c r="D61" t="s">
        <v>20</v>
      </c>
      <c r="E61">
        <v>2022</v>
      </c>
      <c r="F61">
        <v>590.9</v>
      </c>
      <c r="G61">
        <v>8</v>
      </c>
    </row>
    <row r="62" spans="1:17" x14ac:dyDescent="0.3">
      <c r="A62">
        <v>44</v>
      </c>
      <c r="B62" t="s">
        <v>103</v>
      </c>
      <c r="C62" t="s">
        <v>104</v>
      </c>
      <c r="D62" t="s">
        <v>26</v>
      </c>
      <c r="E62">
        <v>2017</v>
      </c>
      <c r="F62">
        <v>360.9</v>
      </c>
      <c r="G62">
        <v>17</v>
      </c>
    </row>
    <row r="63" spans="1:17" x14ac:dyDescent="0.3">
      <c r="A63">
        <v>26</v>
      </c>
      <c r="B63" t="s">
        <v>65</v>
      </c>
      <c r="C63" t="s">
        <v>66</v>
      </c>
      <c r="D63" t="s">
        <v>20</v>
      </c>
      <c r="E63">
        <v>2019</v>
      </c>
      <c r="F63">
        <v>490.25</v>
      </c>
      <c r="G63">
        <v>10</v>
      </c>
    </row>
    <row r="64" spans="1:17" x14ac:dyDescent="0.3">
      <c r="A64">
        <v>38</v>
      </c>
      <c r="B64" t="s">
        <v>91</v>
      </c>
      <c r="C64" t="s">
        <v>92</v>
      </c>
      <c r="D64" t="s">
        <v>54</v>
      </c>
      <c r="E64">
        <v>2016</v>
      </c>
      <c r="F64">
        <v>400</v>
      </c>
      <c r="G64">
        <v>8</v>
      </c>
    </row>
    <row r="65" spans="1:7" x14ac:dyDescent="0.3">
      <c r="A65">
        <v>57</v>
      </c>
      <c r="B65" t="s">
        <v>129</v>
      </c>
      <c r="C65" t="s">
        <v>130</v>
      </c>
      <c r="D65" t="s">
        <v>31</v>
      </c>
      <c r="E65">
        <v>2017</v>
      </c>
      <c r="F65">
        <v>470.6</v>
      </c>
      <c r="G65">
        <v>18</v>
      </c>
    </row>
    <row r="66" spans="1:7" x14ac:dyDescent="0.3">
      <c r="A66">
        <v>76</v>
      </c>
      <c r="B66" t="s">
        <v>167</v>
      </c>
      <c r="C66" t="s">
        <v>168</v>
      </c>
      <c r="D66" t="s">
        <v>8</v>
      </c>
      <c r="E66">
        <v>2020</v>
      </c>
      <c r="F66">
        <v>420</v>
      </c>
      <c r="G66">
        <v>11</v>
      </c>
    </row>
    <row r="67" spans="1:7" x14ac:dyDescent="0.3">
      <c r="A67">
        <v>72</v>
      </c>
      <c r="B67" t="s">
        <v>159</v>
      </c>
      <c r="C67" t="s">
        <v>160</v>
      </c>
      <c r="D67" t="s">
        <v>17</v>
      </c>
      <c r="E67">
        <v>2016</v>
      </c>
      <c r="F67">
        <v>460.25</v>
      </c>
      <c r="G67">
        <v>15</v>
      </c>
    </row>
    <row r="68" spans="1:7" x14ac:dyDescent="0.3">
      <c r="A68">
        <v>39</v>
      </c>
      <c r="B68" t="s">
        <v>93</v>
      </c>
      <c r="C68" t="s">
        <v>94</v>
      </c>
      <c r="D68" t="s">
        <v>11</v>
      </c>
      <c r="E68">
        <v>2020</v>
      </c>
      <c r="F68">
        <v>640</v>
      </c>
      <c r="G68">
        <v>7</v>
      </c>
    </row>
    <row r="69" spans="1:7" x14ac:dyDescent="0.3">
      <c r="A69">
        <v>7</v>
      </c>
      <c r="B69" t="s">
        <v>24</v>
      </c>
      <c r="C69" t="s">
        <v>25</v>
      </c>
      <c r="D69" t="s">
        <v>26</v>
      </c>
      <c r="E69">
        <v>2022</v>
      </c>
      <c r="F69">
        <v>610</v>
      </c>
      <c r="G69">
        <v>7</v>
      </c>
    </row>
    <row r="70" spans="1:7" x14ac:dyDescent="0.3">
      <c r="A70">
        <v>95</v>
      </c>
      <c r="B70" t="s">
        <v>204</v>
      </c>
      <c r="C70" t="s">
        <v>16</v>
      </c>
      <c r="D70" t="s">
        <v>17</v>
      </c>
      <c r="E70">
        <v>2018</v>
      </c>
      <c r="F70">
        <v>480.25</v>
      </c>
      <c r="G70">
        <v>9</v>
      </c>
    </row>
    <row r="71" spans="1:7" x14ac:dyDescent="0.3">
      <c r="A71">
        <v>60</v>
      </c>
      <c r="B71" t="s">
        <v>135</v>
      </c>
      <c r="C71" t="s">
        <v>136</v>
      </c>
      <c r="D71" t="s">
        <v>31</v>
      </c>
      <c r="E71">
        <v>2019</v>
      </c>
      <c r="F71">
        <v>500.3</v>
      </c>
      <c r="G71">
        <v>14</v>
      </c>
    </row>
    <row r="72" spans="1:7" x14ac:dyDescent="0.3">
      <c r="A72">
        <v>31</v>
      </c>
      <c r="B72" t="s">
        <v>77</v>
      </c>
      <c r="C72" t="s">
        <v>78</v>
      </c>
      <c r="D72" t="s">
        <v>31</v>
      </c>
      <c r="E72">
        <v>2018</v>
      </c>
      <c r="F72">
        <v>480.6</v>
      </c>
      <c r="G72">
        <v>17</v>
      </c>
    </row>
    <row r="73" spans="1:7" x14ac:dyDescent="0.3">
      <c r="A73">
        <v>100</v>
      </c>
      <c r="B73" t="s">
        <v>213</v>
      </c>
      <c r="C73" t="s">
        <v>214</v>
      </c>
      <c r="D73" t="s">
        <v>31</v>
      </c>
      <c r="E73">
        <v>2018</v>
      </c>
      <c r="F73">
        <v>490.25</v>
      </c>
      <c r="G73">
        <v>14</v>
      </c>
    </row>
    <row r="74" spans="1:7" x14ac:dyDescent="0.3">
      <c r="A74">
        <v>94</v>
      </c>
      <c r="B74" t="s">
        <v>202</v>
      </c>
      <c r="C74" t="s">
        <v>203</v>
      </c>
      <c r="D74" t="s">
        <v>20</v>
      </c>
      <c r="E74">
        <v>2017</v>
      </c>
      <c r="F74">
        <v>530.1</v>
      </c>
      <c r="G74">
        <v>13</v>
      </c>
    </row>
    <row r="75" spans="1:7" x14ac:dyDescent="0.3">
      <c r="A75">
        <v>29</v>
      </c>
      <c r="B75" t="s">
        <v>72</v>
      </c>
      <c r="C75" t="s">
        <v>73</v>
      </c>
      <c r="D75" t="s">
        <v>74</v>
      </c>
      <c r="E75">
        <v>2021</v>
      </c>
      <c r="F75">
        <v>550.9</v>
      </c>
      <c r="G75">
        <v>6</v>
      </c>
    </row>
    <row r="76" spans="1:7" x14ac:dyDescent="0.3">
      <c r="A76">
        <v>49</v>
      </c>
      <c r="B76" t="s">
        <v>113</v>
      </c>
      <c r="C76" t="s">
        <v>114</v>
      </c>
      <c r="D76" t="s">
        <v>20</v>
      </c>
      <c r="E76">
        <v>2016</v>
      </c>
      <c r="F76">
        <v>440</v>
      </c>
      <c r="G76">
        <v>19</v>
      </c>
    </row>
    <row r="77" spans="1:7" x14ac:dyDescent="0.3">
      <c r="A77">
        <v>15</v>
      </c>
      <c r="B77" t="s">
        <v>42</v>
      </c>
      <c r="C77" t="s">
        <v>43</v>
      </c>
      <c r="D77" t="s">
        <v>20</v>
      </c>
      <c r="E77">
        <v>2022</v>
      </c>
      <c r="F77">
        <v>620.75</v>
      </c>
      <c r="G77">
        <v>6</v>
      </c>
    </row>
    <row r="78" spans="1:7" x14ac:dyDescent="0.3">
      <c r="A78">
        <v>23</v>
      </c>
      <c r="B78" t="s">
        <v>59</v>
      </c>
      <c r="C78" t="s">
        <v>60</v>
      </c>
      <c r="D78" t="s">
        <v>11</v>
      </c>
      <c r="E78">
        <v>2021</v>
      </c>
      <c r="F78">
        <v>650.75</v>
      </c>
      <c r="G78">
        <v>5</v>
      </c>
    </row>
    <row r="79" spans="1:7" x14ac:dyDescent="0.3">
      <c r="A79">
        <v>42</v>
      </c>
      <c r="B79" t="s">
        <v>99</v>
      </c>
      <c r="C79" t="s">
        <v>100</v>
      </c>
      <c r="D79" t="s">
        <v>31</v>
      </c>
      <c r="E79">
        <v>2020</v>
      </c>
      <c r="F79">
        <v>410</v>
      </c>
      <c r="G79">
        <v>11</v>
      </c>
    </row>
    <row r="80" spans="1:7" x14ac:dyDescent="0.3">
      <c r="A80">
        <v>86</v>
      </c>
      <c r="B80" t="s">
        <v>187</v>
      </c>
      <c r="C80" t="s">
        <v>188</v>
      </c>
      <c r="D80" t="s">
        <v>17</v>
      </c>
      <c r="E80">
        <v>2022</v>
      </c>
      <c r="F80">
        <v>490</v>
      </c>
      <c r="G80">
        <v>11</v>
      </c>
    </row>
    <row r="81" spans="1:7" x14ac:dyDescent="0.3">
      <c r="A81">
        <v>63</v>
      </c>
      <c r="B81" t="s">
        <v>141</v>
      </c>
      <c r="C81" t="s">
        <v>142</v>
      </c>
      <c r="D81" t="s">
        <v>20</v>
      </c>
      <c r="E81">
        <v>2020</v>
      </c>
      <c r="F81">
        <v>540.20000000000005</v>
      </c>
      <c r="G81">
        <v>12</v>
      </c>
    </row>
    <row r="82" spans="1:7" x14ac:dyDescent="0.3">
      <c r="A82">
        <v>34</v>
      </c>
      <c r="B82" t="s">
        <v>83</v>
      </c>
      <c r="C82" t="s">
        <v>84</v>
      </c>
      <c r="D82" t="s">
        <v>26</v>
      </c>
      <c r="E82">
        <v>2021</v>
      </c>
      <c r="F82">
        <v>590.5</v>
      </c>
      <c r="G82">
        <v>11</v>
      </c>
    </row>
    <row r="83" spans="1:7" x14ac:dyDescent="0.3">
      <c r="A83">
        <v>1</v>
      </c>
      <c r="B83" t="s">
        <v>6</v>
      </c>
      <c r="C83" t="s">
        <v>7</v>
      </c>
      <c r="D83" t="s">
        <v>8</v>
      </c>
      <c r="E83">
        <v>2018</v>
      </c>
      <c r="F83">
        <v>399.99</v>
      </c>
      <c r="G83">
        <v>12</v>
      </c>
    </row>
    <row r="84" spans="1:7" x14ac:dyDescent="0.3">
      <c r="A84">
        <v>96</v>
      </c>
      <c r="B84" t="s">
        <v>205</v>
      </c>
      <c r="C84" t="s">
        <v>206</v>
      </c>
      <c r="D84" t="s">
        <v>31</v>
      </c>
      <c r="E84">
        <v>2019</v>
      </c>
      <c r="F84">
        <v>510</v>
      </c>
      <c r="G84">
        <v>15</v>
      </c>
    </row>
    <row r="85" spans="1:7" x14ac:dyDescent="0.3">
      <c r="A85">
        <v>78</v>
      </c>
      <c r="B85" t="s">
        <v>171</v>
      </c>
      <c r="C85" t="s">
        <v>88</v>
      </c>
      <c r="D85" t="s">
        <v>20</v>
      </c>
      <c r="E85">
        <v>2019</v>
      </c>
      <c r="F85">
        <v>530.25</v>
      </c>
      <c r="G85">
        <v>10</v>
      </c>
    </row>
    <row r="86" spans="1:7" x14ac:dyDescent="0.3">
      <c r="A86">
        <v>12</v>
      </c>
      <c r="B86" t="s">
        <v>36</v>
      </c>
      <c r="C86" t="s">
        <v>37</v>
      </c>
      <c r="D86" t="s">
        <v>31</v>
      </c>
      <c r="E86">
        <v>2021</v>
      </c>
      <c r="F86">
        <v>499.99</v>
      </c>
      <c r="G86">
        <v>9</v>
      </c>
    </row>
    <row r="87" spans="1:7" x14ac:dyDescent="0.3">
      <c r="A87">
        <v>91</v>
      </c>
      <c r="B87" t="s">
        <v>196</v>
      </c>
      <c r="C87" t="s">
        <v>197</v>
      </c>
      <c r="D87" t="s">
        <v>8</v>
      </c>
      <c r="E87">
        <v>2020</v>
      </c>
      <c r="F87">
        <v>440.75</v>
      </c>
      <c r="G87">
        <v>16</v>
      </c>
    </row>
    <row r="88" spans="1:7" x14ac:dyDescent="0.3">
      <c r="A88">
        <v>14</v>
      </c>
      <c r="B88" t="s">
        <v>40</v>
      </c>
      <c r="C88" t="s">
        <v>41</v>
      </c>
      <c r="D88" t="s">
        <v>14</v>
      </c>
      <c r="E88">
        <v>2014</v>
      </c>
      <c r="F88">
        <v>250.5</v>
      </c>
      <c r="G88">
        <v>30</v>
      </c>
    </row>
    <row r="89" spans="1:7" x14ac:dyDescent="0.3">
      <c r="A89">
        <v>53</v>
      </c>
      <c r="B89" t="s">
        <v>121</v>
      </c>
      <c r="C89" t="s">
        <v>122</v>
      </c>
      <c r="D89" t="s">
        <v>20</v>
      </c>
      <c r="E89">
        <v>2020</v>
      </c>
      <c r="F89">
        <v>460.5</v>
      </c>
      <c r="G89">
        <v>12</v>
      </c>
    </row>
    <row r="90" spans="1:7" x14ac:dyDescent="0.3">
      <c r="A90">
        <v>30</v>
      </c>
      <c r="B90" t="s">
        <v>75</v>
      </c>
      <c r="C90" t="s">
        <v>76</v>
      </c>
      <c r="D90" t="s">
        <v>17</v>
      </c>
      <c r="E90">
        <v>2016</v>
      </c>
      <c r="F90">
        <v>460.25</v>
      </c>
      <c r="G90">
        <v>13</v>
      </c>
    </row>
    <row r="91" spans="1:7" x14ac:dyDescent="0.3">
      <c r="A91">
        <v>13</v>
      </c>
      <c r="B91" t="s">
        <v>38</v>
      </c>
      <c r="C91" t="s">
        <v>39</v>
      </c>
      <c r="D91" t="s">
        <v>11</v>
      </c>
      <c r="E91">
        <v>2019</v>
      </c>
      <c r="F91">
        <v>420.3</v>
      </c>
      <c r="G91">
        <v>16</v>
      </c>
    </row>
    <row r="92" spans="1:7" x14ac:dyDescent="0.3">
      <c r="A92">
        <v>21</v>
      </c>
      <c r="B92" t="s">
        <v>55</v>
      </c>
      <c r="C92" t="s">
        <v>56</v>
      </c>
      <c r="D92" t="s">
        <v>31</v>
      </c>
      <c r="E92">
        <v>2020</v>
      </c>
      <c r="F92">
        <v>470.2</v>
      </c>
      <c r="G92">
        <v>7</v>
      </c>
    </row>
    <row r="93" spans="1:7" x14ac:dyDescent="0.3">
      <c r="A93">
        <v>81</v>
      </c>
      <c r="B93" t="s">
        <v>177</v>
      </c>
      <c r="C93" t="s">
        <v>178</v>
      </c>
      <c r="D93" t="s">
        <v>17</v>
      </c>
      <c r="E93">
        <v>2018</v>
      </c>
      <c r="F93">
        <v>470.25</v>
      </c>
      <c r="G93">
        <v>14</v>
      </c>
    </row>
    <row r="94" spans="1:7" x14ac:dyDescent="0.3">
      <c r="A94">
        <v>65</v>
      </c>
      <c r="B94" t="s">
        <v>145</v>
      </c>
      <c r="C94" t="s">
        <v>146</v>
      </c>
      <c r="D94" t="s">
        <v>17</v>
      </c>
      <c r="E94">
        <v>2018</v>
      </c>
      <c r="F94">
        <v>480.25</v>
      </c>
      <c r="G94">
        <v>13</v>
      </c>
    </row>
    <row r="95" spans="1:7" x14ac:dyDescent="0.3">
      <c r="A95">
        <v>20</v>
      </c>
      <c r="B95" t="s">
        <v>52</v>
      </c>
      <c r="C95" t="s">
        <v>53</v>
      </c>
      <c r="D95" t="s">
        <v>54</v>
      </c>
      <c r="E95">
        <v>2018</v>
      </c>
      <c r="F95">
        <v>390</v>
      </c>
      <c r="G95">
        <v>12</v>
      </c>
    </row>
    <row r="96" spans="1:7" x14ac:dyDescent="0.3">
      <c r="A96">
        <v>55</v>
      </c>
      <c r="B96" t="s">
        <v>125</v>
      </c>
      <c r="C96" t="s">
        <v>126</v>
      </c>
      <c r="D96" t="s">
        <v>54</v>
      </c>
      <c r="E96">
        <v>2019</v>
      </c>
      <c r="F96">
        <v>410.1</v>
      </c>
      <c r="G96">
        <v>16</v>
      </c>
    </row>
    <row r="97" spans="1:7" x14ac:dyDescent="0.3">
      <c r="A97">
        <v>40</v>
      </c>
      <c r="B97" t="s">
        <v>95</v>
      </c>
      <c r="C97" t="s">
        <v>96</v>
      </c>
      <c r="D97" t="s">
        <v>14</v>
      </c>
      <c r="E97">
        <v>2018</v>
      </c>
      <c r="F97">
        <v>290</v>
      </c>
      <c r="G97">
        <v>23</v>
      </c>
    </row>
    <row r="98" spans="1:7" x14ac:dyDescent="0.3">
      <c r="A98">
        <v>82</v>
      </c>
      <c r="B98" t="s">
        <v>179</v>
      </c>
      <c r="C98" t="s">
        <v>180</v>
      </c>
      <c r="D98" t="s">
        <v>26</v>
      </c>
      <c r="E98">
        <v>2019</v>
      </c>
      <c r="F98">
        <v>400</v>
      </c>
      <c r="G98">
        <v>12</v>
      </c>
    </row>
    <row r="99" spans="1:7" x14ac:dyDescent="0.3">
      <c r="A99">
        <v>3</v>
      </c>
      <c r="B99" t="s">
        <v>12</v>
      </c>
      <c r="C99" t="s">
        <v>13</v>
      </c>
      <c r="D99" t="s">
        <v>14</v>
      </c>
      <c r="E99">
        <v>2016</v>
      </c>
      <c r="F99">
        <v>299</v>
      </c>
      <c r="G99">
        <v>20</v>
      </c>
    </row>
    <row r="100" spans="1:7" x14ac:dyDescent="0.3">
      <c r="A100">
        <v>43</v>
      </c>
      <c r="B100" t="s">
        <v>101</v>
      </c>
      <c r="C100" t="s">
        <v>102</v>
      </c>
      <c r="D100" t="s">
        <v>20</v>
      </c>
      <c r="E100">
        <v>2022</v>
      </c>
      <c r="F100">
        <v>590.25</v>
      </c>
      <c r="G100">
        <v>8</v>
      </c>
    </row>
    <row r="101" spans="1:7" x14ac:dyDescent="0.3">
      <c r="A101">
        <v>48</v>
      </c>
      <c r="B101" t="s">
        <v>111</v>
      </c>
      <c r="C101" t="s">
        <v>112</v>
      </c>
      <c r="D101" t="s">
        <v>17</v>
      </c>
      <c r="E101">
        <v>2018</v>
      </c>
      <c r="F101">
        <v>490.2</v>
      </c>
      <c r="G101">
        <v>13</v>
      </c>
    </row>
    <row r="102" spans="1:7" x14ac:dyDescent="0.3">
      <c r="A102">
        <v>90</v>
      </c>
      <c r="B102" t="s">
        <v>194</v>
      </c>
      <c r="C102" t="s">
        <v>195</v>
      </c>
      <c r="D102" t="s">
        <v>20</v>
      </c>
      <c r="E102">
        <v>2019</v>
      </c>
      <c r="F102">
        <v>520</v>
      </c>
      <c r="G102">
        <v>12</v>
      </c>
    </row>
    <row r="103" spans="1:7" x14ac:dyDescent="0.3">
      <c r="A103">
        <v>8</v>
      </c>
      <c r="B103" t="s">
        <v>27</v>
      </c>
      <c r="C103" t="s">
        <v>28</v>
      </c>
      <c r="D103" t="s">
        <v>20</v>
      </c>
      <c r="E103">
        <v>2017</v>
      </c>
      <c r="F103">
        <v>470.1</v>
      </c>
      <c r="G103">
        <v>18</v>
      </c>
    </row>
  </sheetData>
  <mergeCells count="1">
    <mergeCell ref="I16:P22"/>
  </mergeCells>
  <conditionalFormatting sqref="F1">
    <cfRule type="top10" dxfId="28" priority="9" bottom="1" rank="10"/>
    <cfRule type="top10" dxfId="27" priority="10" bottom="1" rank="10"/>
    <cfRule type="top10" dxfId="26" priority="11" percent="1" rank="10"/>
    <cfRule type="top10" dxfId="25" priority="12" rank="10"/>
  </conditionalFormatting>
  <conditionalFormatting sqref="O1">
    <cfRule type="top10" dxfId="24" priority="1" bottom="1" rank="10"/>
    <cfRule type="top10" dxfId="23" priority="2" bottom="1" rank="10"/>
    <cfRule type="top10" dxfId="22" priority="3" percent="1" rank="10"/>
    <cfRule type="top10" dxfId="21" priority="4" rank="10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FC1EC-9515-41B3-AEFB-56F5F84E30CC}">
  <dimension ref="A1:O215"/>
  <sheetViews>
    <sheetView topLeftCell="A81" workbookViewId="0">
      <selection activeCell="J114" sqref="J114"/>
    </sheetView>
  </sheetViews>
  <sheetFormatPr defaultRowHeight="14.4" x14ac:dyDescent="0.3"/>
  <cols>
    <col min="1" max="7" width="16.77734375" customWidth="1"/>
    <col min="9" max="14" width="16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224</v>
      </c>
      <c r="I1" s="1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2" t="s">
        <v>5</v>
      </c>
      <c r="O1" s="3" t="s">
        <v>224</v>
      </c>
    </row>
    <row r="2" spans="1:15" hidden="1" x14ac:dyDescent="0.3">
      <c r="A2">
        <v>75</v>
      </c>
      <c r="B2" t="s">
        <v>165</v>
      </c>
      <c r="C2" t="s">
        <v>166</v>
      </c>
      <c r="D2" t="s">
        <v>14</v>
      </c>
      <c r="E2">
        <v>2017</v>
      </c>
      <c r="F2">
        <v>310</v>
      </c>
      <c r="G2">
        <v>19</v>
      </c>
      <c r="I2" t="str" cm="1">
        <f t="array" ref="I2:N106">_xlfn._xlws.SORT(BOOKS_RECORDS3[[title]:[stock ]],3,1,)</f>
        <v>Echo of the Storm</v>
      </c>
      <c r="J2" t="str">
        <v>Henry Carter</v>
      </c>
      <c r="K2" t="str">
        <v>Adventure</v>
      </c>
      <c r="L2">
        <v>2020</v>
      </c>
      <c r="M2">
        <v>470.25</v>
      </c>
      <c r="N2">
        <v>11</v>
      </c>
    </row>
    <row r="3" spans="1:15" hidden="1" x14ac:dyDescent="0.3">
      <c r="A3">
        <v>22</v>
      </c>
      <c r="B3" t="s">
        <v>57</v>
      </c>
      <c r="C3" t="s">
        <v>58</v>
      </c>
      <c r="D3" t="s">
        <v>14</v>
      </c>
      <c r="E3">
        <v>2019</v>
      </c>
      <c r="F3">
        <v>320</v>
      </c>
      <c r="G3">
        <v>22</v>
      </c>
      <c r="I3" t="str">
        <v>Fallen Kingdom</v>
      </c>
      <c r="J3" t="str">
        <v>Logan Parker</v>
      </c>
      <c r="K3" t="str">
        <v>Adventure</v>
      </c>
      <c r="L3">
        <v>2020</v>
      </c>
      <c r="M3">
        <v>500.3</v>
      </c>
      <c r="N3">
        <v>14</v>
      </c>
    </row>
    <row r="4" spans="1:15" hidden="1" x14ac:dyDescent="0.3">
      <c r="A4">
        <v>85</v>
      </c>
      <c r="B4" t="s">
        <v>185</v>
      </c>
      <c r="C4" t="s">
        <v>186</v>
      </c>
      <c r="D4" t="s">
        <v>23</v>
      </c>
      <c r="E4">
        <v>2019</v>
      </c>
      <c r="F4">
        <v>320.25</v>
      </c>
      <c r="G4">
        <v>17</v>
      </c>
      <c r="I4" t="str">
        <v>Journey to Oblivion</v>
      </c>
      <c r="J4" t="str">
        <v>Ethan Perry</v>
      </c>
      <c r="K4" t="str">
        <v>Adventure</v>
      </c>
      <c r="L4">
        <v>2021</v>
      </c>
      <c r="M4">
        <v>510</v>
      </c>
      <c r="N4">
        <v>9</v>
      </c>
    </row>
    <row r="5" spans="1:15" hidden="1" x14ac:dyDescent="0.3">
      <c r="A5">
        <v>18</v>
      </c>
      <c r="B5" t="s">
        <v>48</v>
      </c>
      <c r="C5" t="s">
        <v>49</v>
      </c>
      <c r="D5" t="s">
        <v>17</v>
      </c>
      <c r="E5">
        <v>2016</v>
      </c>
      <c r="F5">
        <v>450</v>
      </c>
      <c r="G5">
        <v>14</v>
      </c>
      <c r="I5" t="str">
        <v>The Burning Sky</v>
      </c>
      <c r="J5" t="str">
        <v>Mason Ross</v>
      </c>
      <c r="K5" t="str">
        <v>Adventure</v>
      </c>
      <c r="L5">
        <v>2018</v>
      </c>
      <c r="M5">
        <v>480.5</v>
      </c>
      <c r="N5">
        <v>16</v>
      </c>
    </row>
    <row r="6" spans="1:15" hidden="1" x14ac:dyDescent="0.3">
      <c r="A6">
        <v>4</v>
      </c>
      <c r="B6" t="s">
        <v>15</v>
      </c>
      <c r="C6" t="s">
        <v>16</v>
      </c>
      <c r="D6" t="s">
        <v>17</v>
      </c>
      <c r="E6">
        <v>2019</v>
      </c>
      <c r="F6">
        <v>450.25</v>
      </c>
      <c r="G6">
        <v>14</v>
      </c>
      <c r="I6" t="str">
        <v>The Forgotten Path</v>
      </c>
      <c r="J6" t="str">
        <v>Ava Gray</v>
      </c>
      <c r="K6" t="str">
        <v>Adventure</v>
      </c>
      <c r="L6">
        <v>2022</v>
      </c>
      <c r="M6">
        <v>510.4</v>
      </c>
      <c r="N6">
        <v>9</v>
      </c>
    </row>
    <row r="7" spans="1:15" hidden="1" x14ac:dyDescent="0.3">
      <c r="A7">
        <v>24</v>
      </c>
      <c r="B7" t="s">
        <v>61</v>
      </c>
      <c r="C7" t="s">
        <v>62</v>
      </c>
      <c r="D7" t="s">
        <v>26</v>
      </c>
      <c r="E7">
        <v>2018</v>
      </c>
      <c r="F7">
        <v>410.9</v>
      </c>
      <c r="G7">
        <v>13</v>
      </c>
      <c r="I7" t="str">
        <v>The Forgotten Realm</v>
      </c>
      <c r="J7" t="str">
        <v>Mason Adams</v>
      </c>
      <c r="K7" t="str">
        <v>Adventure</v>
      </c>
      <c r="L7">
        <v>2019</v>
      </c>
      <c r="M7">
        <v>540</v>
      </c>
      <c r="N7">
        <v>15</v>
      </c>
    </row>
    <row r="8" spans="1:15" hidden="1" x14ac:dyDescent="0.3">
      <c r="A8">
        <v>61</v>
      </c>
      <c r="B8" t="s">
        <v>137</v>
      </c>
      <c r="C8" t="s">
        <v>138</v>
      </c>
      <c r="D8" t="s">
        <v>14</v>
      </c>
      <c r="E8">
        <v>2018</v>
      </c>
      <c r="F8">
        <v>290</v>
      </c>
      <c r="G8">
        <v>25</v>
      </c>
      <c r="I8" t="str">
        <v>The Hidden Fortress</v>
      </c>
      <c r="J8" t="str">
        <v>Mason Bennett</v>
      </c>
      <c r="K8" t="str">
        <v>Adventure</v>
      </c>
      <c r="L8">
        <v>2017</v>
      </c>
      <c r="M8">
        <v>470.6</v>
      </c>
      <c r="N8">
        <v>18</v>
      </c>
    </row>
    <row r="9" spans="1:15" x14ac:dyDescent="0.3">
      <c r="A9">
        <v>33</v>
      </c>
      <c r="B9" t="s">
        <v>81</v>
      </c>
      <c r="C9" t="s">
        <v>82</v>
      </c>
      <c r="D9" t="s">
        <v>11</v>
      </c>
      <c r="E9">
        <v>2022</v>
      </c>
      <c r="F9">
        <v>720</v>
      </c>
      <c r="G9">
        <v>8</v>
      </c>
      <c r="I9" t="str">
        <v>The Last Odyssey</v>
      </c>
      <c r="J9" t="str">
        <v>Olivia Gray</v>
      </c>
      <c r="K9" t="str">
        <v>Adventure</v>
      </c>
      <c r="L9">
        <v>2019</v>
      </c>
      <c r="M9">
        <v>500.3</v>
      </c>
      <c r="N9">
        <v>14</v>
      </c>
    </row>
    <row r="10" spans="1:15" x14ac:dyDescent="0.3">
      <c r="A10">
        <v>54</v>
      </c>
      <c r="B10" t="s">
        <v>123</v>
      </c>
      <c r="C10" t="s">
        <v>124</v>
      </c>
      <c r="D10" t="s">
        <v>17</v>
      </c>
      <c r="E10">
        <v>2021</v>
      </c>
      <c r="F10">
        <v>490.75</v>
      </c>
      <c r="G10">
        <v>8</v>
      </c>
      <c r="I10" t="str">
        <v>The Lost City</v>
      </c>
      <c r="J10" t="str">
        <v>Samuel Harris</v>
      </c>
      <c r="K10" t="str">
        <v>Adventure</v>
      </c>
      <c r="L10">
        <v>2018</v>
      </c>
      <c r="M10">
        <v>480.6</v>
      </c>
      <c r="N10">
        <v>17</v>
      </c>
    </row>
    <row r="11" spans="1:15" hidden="1" x14ac:dyDescent="0.3">
      <c r="A11">
        <v>56</v>
      </c>
      <c r="B11" t="s">
        <v>127</v>
      </c>
      <c r="C11" t="s">
        <v>128</v>
      </c>
      <c r="D11" t="s">
        <v>23</v>
      </c>
      <c r="E11">
        <v>2020</v>
      </c>
      <c r="F11">
        <v>330</v>
      </c>
      <c r="G11">
        <v>20</v>
      </c>
      <c r="I11" t="str">
        <v>The Lost Empire</v>
      </c>
      <c r="J11" t="str">
        <v>Liam Allen</v>
      </c>
      <c r="K11" t="str">
        <v>Adventure</v>
      </c>
      <c r="L11">
        <v>2018</v>
      </c>
      <c r="M11">
        <v>490.25</v>
      </c>
      <c r="N11">
        <v>14</v>
      </c>
    </row>
    <row r="12" spans="1:15" hidden="1" x14ac:dyDescent="0.3">
      <c r="A12">
        <v>10</v>
      </c>
      <c r="B12" t="s">
        <v>32</v>
      </c>
      <c r="C12" t="s">
        <v>33</v>
      </c>
      <c r="D12" t="s">
        <v>20</v>
      </c>
      <c r="E12">
        <v>2018</v>
      </c>
      <c r="F12">
        <v>320.75</v>
      </c>
      <c r="G12">
        <v>25</v>
      </c>
      <c r="I12" t="str">
        <v>The Red Horizon</v>
      </c>
      <c r="J12" t="str">
        <v>Madison Young</v>
      </c>
      <c r="K12" t="str">
        <v>Adventure</v>
      </c>
      <c r="L12">
        <v>2020</v>
      </c>
      <c r="M12">
        <v>410</v>
      </c>
      <c r="N12">
        <v>11</v>
      </c>
    </row>
    <row r="13" spans="1:15" hidden="1" x14ac:dyDescent="0.3">
      <c r="A13">
        <v>11</v>
      </c>
      <c r="B13" t="s">
        <v>34</v>
      </c>
      <c r="C13" t="s">
        <v>35</v>
      </c>
      <c r="D13" t="s">
        <v>23</v>
      </c>
      <c r="E13">
        <v>2020</v>
      </c>
      <c r="F13">
        <v>350</v>
      </c>
      <c r="G13">
        <v>11</v>
      </c>
      <c r="I13" t="str">
        <v>The Silver Compass</v>
      </c>
      <c r="J13" t="str">
        <v>Emma Foster</v>
      </c>
      <c r="K13" t="str">
        <v>Adventure</v>
      </c>
      <c r="L13">
        <v>2019</v>
      </c>
      <c r="M13">
        <v>510</v>
      </c>
      <c r="N13">
        <v>15</v>
      </c>
    </row>
    <row r="14" spans="1:15" x14ac:dyDescent="0.3">
      <c r="A14">
        <v>84</v>
      </c>
      <c r="B14" t="s">
        <v>183</v>
      </c>
      <c r="C14" t="s">
        <v>184</v>
      </c>
      <c r="D14" t="s">
        <v>11</v>
      </c>
      <c r="E14">
        <v>2021</v>
      </c>
      <c r="F14">
        <v>680.9</v>
      </c>
      <c r="G14">
        <v>7</v>
      </c>
      <c r="I14" t="str">
        <v>The Stolen Horizon</v>
      </c>
      <c r="J14" t="str">
        <v>Mia Turner</v>
      </c>
      <c r="K14" t="str">
        <v>Adventure</v>
      </c>
      <c r="L14">
        <v>2021</v>
      </c>
      <c r="M14">
        <v>499.99</v>
      </c>
      <c r="N14">
        <v>9</v>
      </c>
    </row>
    <row r="15" spans="1:15" hidden="1" x14ac:dyDescent="0.3">
      <c r="A15">
        <v>58</v>
      </c>
      <c r="B15" t="s">
        <v>131</v>
      </c>
      <c r="C15" t="s">
        <v>132</v>
      </c>
      <c r="D15" t="s">
        <v>20</v>
      </c>
      <c r="E15">
        <v>2021</v>
      </c>
      <c r="F15">
        <v>590</v>
      </c>
      <c r="G15">
        <v>10</v>
      </c>
      <c r="I15" t="str">
        <v>Tides of Destiny</v>
      </c>
      <c r="J15" t="str">
        <v>Michael Gray</v>
      </c>
      <c r="K15" t="str">
        <v>Adventure</v>
      </c>
      <c r="L15">
        <v>2020</v>
      </c>
      <c r="M15">
        <v>470.2</v>
      </c>
      <c r="N15">
        <v>7</v>
      </c>
    </row>
    <row r="16" spans="1:15" hidden="1" x14ac:dyDescent="0.3">
      <c r="A16">
        <v>64</v>
      </c>
      <c r="B16" t="s">
        <v>143</v>
      </c>
      <c r="C16" t="s">
        <v>144</v>
      </c>
      <c r="D16" t="s">
        <v>26</v>
      </c>
      <c r="E16">
        <v>2021</v>
      </c>
      <c r="F16">
        <v>610.5</v>
      </c>
      <c r="G16">
        <v>8</v>
      </c>
      <c r="I16" t="str">
        <v>The Neon Horizon</v>
      </c>
      <c r="J16" t="str">
        <v>Joseph Adams</v>
      </c>
      <c r="K16" t="str">
        <v>Cyberpunk</v>
      </c>
      <c r="L16">
        <v>2021</v>
      </c>
      <c r="M16">
        <v>550.9</v>
      </c>
      <c r="N16">
        <v>6</v>
      </c>
    </row>
    <row r="17" spans="1:14" hidden="1" x14ac:dyDescent="0.3">
      <c r="A17">
        <v>37</v>
      </c>
      <c r="B17" t="s">
        <v>89</v>
      </c>
      <c r="C17" t="s">
        <v>90</v>
      </c>
      <c r="D17" t="s">
        <v>20</v>
      </c>
      <c r="E17">
        <v>2019</v>
      </c>
      <c r="F17">
        <v>530.20000000000005</v>
      </c>
      <c r="G17">
        <v>10</v>
      </c>
      <c r="I17" t="str">
        <v>Ashes and Embers</v>
      </c>
      <c r="J17" t="str">
        <v>Lily Thompson</v>
      </c>
      <c r="K17" t="str">
        <v>Drama</v>
      </c>
      <c r="L17">
        <v>2019</v>
      </c>
      <c r="M17">
        <v>320.25</v>
      </c>
      <c r="N17">
        <v>17</v>
      </c>
    </row>
    <row r="18" spans="1:14" hidden="1" x14ac:dyDescent="0.3">
      <c r="A18">
        <v>73</v>
      </c>
      <c r="B18" t="s">
        <v>161</v>
      </c>
      <c r="C18" t="s">
        <v>162</v>
      </c>
      <c r="D18" t="s">
        <v>26</v>
      </c>
      <c r="E18">
        <v>2018</v>
      </c>
      <c r="F18">
        <v>380.75</v>
      </c>
      <c r="G18">
        <v>10</v>
      </c>
      <c r="I18" t="str">
        <v>Broken Chains</v>
      </c>
      <c r="J18" t="str">
        <v>Ava Richardson</v>
      </c>
      <c r="K18" t="str">
        <v>Drama</v>
      </c>
      <c r="L18">
        <v>2020</v>
      </c>
      <c r="M18">
        <v>330</v>
      </c>
      <c r="N18">
        <v>20</v>
      </c>
    </row>
    <row r="19" spans="1:14" hidden="1" x14ac:dyDescent="0.3">
      <c r="A19">
        <v>41</v>
      </c>
      <c r="B19" t="s">
        <v>97</v>
      </c>
      <c r="C19" t="s">
        <v>98</v>
      </c>
      <c r="D19" t="s">
        <v>54</v>
      </c>
      <c r="E19">
        <v>2019</v>
      </c>
      <c r="F19">
        <v>520.75</v>
      </c>
      <c r="G19">
        <v>9</v>
      </c>
      <c r="I19" t="str">
        <v>City of Broken Dreams</v>
      </c>
      <c r="J19" t="str">
        <v>James Lewis</v>
      </c>
      <c r="K19" t="str">
        <v>Drama</v>
      </c>
      <c r="L19">
        <v>2020</v>
      </c>
      <c r="M19">
        <v>350</v>
      </c>
      <c r="N19">
        <v>11</v>
      </c>
    </row>
    <row r="20" spans="1:14" hidden="1" x14ac:dyDescent="0.3">
      <c r="A20">
        <v>87</v>
      </c>
      <c r="B20" t="s">
        <v>189</v>
      </c>
      <c r="C20" t="s">
        <v>190</v>
      </c>
      <c r="D20" t="s">
        <v>20</v>
      </c>
      <c r="E20">
        <v>2018</v>
      </c>
      <c r="F20">
        <v>560.75</v>
      </c>
      <c r="G20">
        <v>9</v>
      </c>
      <c r="I20" t="str">
        <v>Echo Chamber</v>
      </c>
      <c r="J20" t="str">
        <v>Ethan Evans</v>
      </c>
      <c r="K20" t="str">
        <v>Drama</v>
      </c>
      <c r="L20">
        <v>2019</v>
      </c>
      <c r="M20">
        <v>310.5</v>
      </c>
      <c r="N20">
        <v>17</v>
      </c>
    </row>
    <row r="21" spans="1:14" hidden="1" x14ac:dyDescent="0.3">
      <c r="A21">
        <v>19</v>
      </c>
      <c r="B21" t="s">
        <v>50</v>
      </c>
      <c r="C21" t="s">
        <v>51</v>
      </c>
      <c r="D21" t="s">
        <v>20</v>
      </c>
      <c r="E21">
        <v>2019</v>
      </c>
      <c r="F21">
        <v>560.5</v>
      </c>
      <c r="G21">
        <v>10</v>
      </c>
      <c r="I21" t="str">
        <v>Echo Valley</v>
      </c>
      <c r="J21" t="str">
        <v>Zoe Campbell</v>
      </c>
      <c r="K21" t="str">
        <v>Drama</v>
      </c>
      <c r="L21">
        <v>2019</v>
      </c>
      <c r="M21">
        <v>310.25</v>
      </c>
      <c r="N21">
        <v>22</v>
      </c>
    </row>
    <row r="22" spans="1:14" x14ac:dyDescent="0.3">
      <c r="A22">
        <v>62</v>
      </c>
      <c r="B22" t="s">
        <v>139</v>
      </c>
      <c r="C22" t="s">
        <v>140</v>
      </c>
      <c r="D22" t="s">
        <v>11</v>
      </c>
      <c r="E22">
        <v>2022</v>
      </c>
      <c r="F22">
        <v>690</v>
      </c>
      <c r="G22">
        <v>7</v>
      </c>
      <c r="I22" t="str">
        <v>Echoes of Silence</v>
      </c>
      <c r="J22" t="str">
        <v>Nathan Turner</v>
      </c>
      <c r="K22" t="str">
        <v>Drama</v>
      </c>
      <c r="L22">
        <v>2020</v>
      </c>
      <c r="M22">
        <v>310.89999999999998</v>
      </c>
      <c r="N22">
        <v>22</v>
      </c>
    </row>
    <row r="23" spans="1:14" hidden="1" x14ac:dyDescent="0.3">
      <c r="A23">
        <v>69</v>
      </c>
      <c r="B23" t="s">
        <v>153</v>
      </c>
      <c r="C23" t="s">
        <v>154</v>
      </c>
      <c r="D23" t="s">
        <v>23</v>
      </c>
      <c r="E23">
        <v>2019</v>
      </c>
      <c r="F23">
        <v>310.5</v>
      </c>
      <c r="G23">
        <v>17</v>
      </c>
      <c r="I23" t="str">
        <v>Echoes of the Past</v>
      </c>
      <c r="J23" t="str">
        <v>Lily Campbell</v>
      </c>
      <c r="K23" t="str">
        <v>Drama</v>
      </c>
      <c r="L23">
        <v>2019</v>
      </c>
      <c r="M23">
        <v>310</v>
      </c>
      <c r="N23">
        <v>25</v>
      </c>
    </row>
    <row r="24" spans="1:14" hidden="1" x14ac:dyDescent="0.3">
      <c r="A24">
        <v>93</v>
      </c>
      <c r="B24" t="s">
        <v>200</v>
      </c>
      <c r="C24" t="s">
        <v>201</v>
      </c>
      <c r="D24" t="s">
        <v>31</v>
      </c>
      <c r="E24">
        <v>2020</v>
      </c>
      <c r="F24">
        <v>470.25</v>
      </c>
      <c r="G24">
        <v>11</v>
      </c>
      <c r="I24" t="str">
        <v>Fires of Redemption</v>
      </c>
      <c r="J24" t="str">
        <v>Daniel Perry</v>
      </c>
      <c r="K24" t="str">
        <v>Drama</v>
      </c>
      <c r="L24">
        <v>2017</v>
      </c>
      <c r="M24">
        <v>360</v>
      </c>
      <c r="N24">
        <v>18</v>
      </c>
    </row>
    <row r="25" spans="1:14" hidden="1" x14ac:dyDescent="0.3">
      <c r="A25">
        <v>52</v>
      </c>
      <c r="B25" t="s">
        <v>119</v>
      </c>
      <c r="C25" t="s">
        <v>120</v>
      </c>
      <c r="D25" t="s">
        <v>23</v>
      </c>
      <c r="E25">
        <v>2019</v>
      </c>
      <c r="F25">
        <v>310.25</v>
      </c>
      <c r="G25">
        <v>22</v>
      </c>
      <c r="I25" t="str">
        <v>Fragments of Light</v>
      </c>
      <c r="J25" t="str">
        <v>Ethan Hughes</v>
      </c>
      <c r="K25" t="str">
        <v>Drama</v>
      </c>
      <c r="L25">
        <v>2015</v>
      </c>
      <c r="M25">
        <v>280.39999999999998</v>
      </c>
      <c r="N25">
        <v>8</v>
      </c>
    </row>
    <row r="26" spans="1:14" hidden="1" x14ac:dyDescent="0.3">
      <c r="A26">
        <v>79</v>
      </c>
      <c r="B26" t="s">
        <v>172</v>
      </c>
      <c r="C26" t="s">
        <v>173</v>
      </c>
      <c r="D26" t="s">
        <v>23</v>
      </c>
      <c r="E26">
        <v>2020</v>
      </c>
      <c r="F26">
        <v>310.89999999999998</v>
      </c>
      <c r="G26">
        <v>22</v>
      </c>
      <c r="I26" t="str">
        <v>Chronicles of Dawn</v>
      </c>
      <c r="J26" t="str">
        <v>Charlotte Evans</v>
      </c>
      <c r="K26" t="str">
        <v>Fantasy</v>
      </c>
      <c r="L26">
        <v>2018</v>
      </c>
      <c r="M26">
        <v>320.75</v>
      </c>
      <c r="N26">
        <v>25</v>
      </c>
    </row>
    <row r="27" spans="1:14" hidden="1" x14ac:dyDescent="0.3">
      <c r="A27">
        <v>32</v>
      </c>
      <c r="B27" t="s">
        <v>79</v>
      </c>
      <c r="C27" t="s">
        <v>80</v>
      </c>
      <c r="D27" t="s">
        <v>23</v>
      </c>
      <c r="E27">
        <v>2019</v>
      </c>
      <c r="F27">
        <v>310</v>
      </c>
      <c r="G27">
        <v>25</v>
      </c>
      <c r="I27" t="str">
        <v>City of Smoke</v>
      </c>
      <c r="J27" t="str">
        <v>Ella Morris</v>
      </c>
      <c r="K27" t="str">
        <v>Fantasy</v>
      </c>
      <c r="L27">
        <v>2021</v>
      </c>
      <c r="M27">
        <v>590</v>
      </c>
      <c r="N27">
        <v>10</v>
      </c>
    </row>
    <row r="28" spans="1:14" x14ac:dyDescent="0.3">
      <c r="A28">
        <v>2</v>
      </c>
      <c r="B28" t="s">
        <v>9</v>
      </c>
      <c r="C28" t="s">
        <v>10</v>
      </c>
      <c r="D28" t="s">
        <v>11</v>
      </c>
      <c r="E28">
        <v>2020</v>
      </c>
      <c r="F28">
        <v>499.5</v>
      </c>
      <c r="G28">
        <v>9</v>
      </c>
      <c r="I28" t="str">
        <v>Cursed by Fire</v>
      </c>
      <c r="J28" t="str">
        <v>Jacob Carter</v>
      </c>
      <c r="K28" t="str">
        <v>Fantasy</v>
      </c>
      <c r="L28">
        <v>2019</v>
      </c>
      <c r="M28">
        <v>530.20000000000005</v>
      </c>
      <c r="N28">
        <v>10</v>
      </c>
    </row>
    <row r="29" spans="1:14" hidden="1" x14ac:dyDescent="0.3">
      <c r="A29">
        <v>16</v>
      </c>
      <c r="B29" t="s">
        <v>44</v>
      </c>
      <c r="C29" t="s">
        <v>45</v>
      </c>
      <c r="D29" t="s">
        <v>26</v>
      </c>
      <c r="E29">
        <v>2017</v>
      </c>
      <c r="F29">
        <v>380.9</v>
      </c>
      <c r="G29">
        <v>19</v>
      </c>
      <c r="I29" t="str">
        <v>Dawn of the Phoenix</v>
      </c>
      <c r="J29" t="str">
        <v>Chloe Ward</v>
      </c>
      <c r="K29" t="str">
        <v>Fantasy</v>
      </c>
      <c r="L29">
        <v>2018</v>
      </c>
      <c r="M29">
        <v>560.75</v>
      </c>
      <c r="N29">
        <v>9</v>
      </c>
    </row>
    <row r="30" spans="1:14" x14ac:dyDescent="0.3">
      <c r="A30">
        <v>105</v>
      </c>
      <c r="B30" t="s">
        <v>222</v>
      </c>
      <c r="C30" t="s">
        <v>223</v>
      </c>
      <c r="D30" t="s">
        <v>11</v>
      </c>
      <c r="E30">
        <v>2020</v>
      </c>
      <c r="F30">
        <v>670</v>
      </c>
      <c r="G30">
        <v>7</v>
      </c>
      <c r="I30" t="str">
        <v>Dreamcatcher’s Oath</v>
      </c>
      <c r="J30" t="str">
        <v>Henry Morgan</v>
      </c>
      <c r="K30" t="str">
        <v>Fantasy</v>
      </c>
      <c r="L30">
        <v>2019</v>
      </c>
      <c r="M30">
        <v>560.5</v>
      </c>
      <c r="N30">
        <v>10</v>
      </c>
    </row>
    <row r="31" spans="1:14" hidden="1" x14ac:dyDescent="0.3">
      <c r="A31">
        <v>88</v>
      </c>
      <c r="B31" t="s">
        <v>191</v>
      </c>
      <c r="C31" t="s">
        <v>192</v>
      </c>
      <c r="D31" t="s">
        <v>31</v>
      </c>
      <c r="E31">
        <v>2020</v>
      </c>
      <c r="F31">
        <v>500.3</v>
      </c>
      <c r="G31">
        <v>14</v>
      </c>
      <c r="I31" t="str">
        <v>Rise of the Fallen</v>
      </c>
      <c r="J31" t="str">
        <v>David Morgan</v>
      </c>
      <c r="K31" t="str">
        <v>Fantasy</v>
      </c>
      <c r="L31">
        <v>2020</v>
      </c>
      <c r="M31">
        <v>550.29999999999995</v>
      </c>
      <c r="N31">
        <v>10</v>
      </c>
    </row>
    <row r="32" spans="1:14" hidden="1" x14ac:dyDescent="0.3">
      <c r="A32">
        <v>51</v>
      </c>
      <c r="B32" t="s">
        <v>117</v>
      </c>
      <c r="C32" t="s">
        <v>118</v>
      </c>
      <c r="D32" t="s">
        <v>11</v>
      </c>
      <c r="E32">
        <v>2018</v>
      </c>
      <c r="F32">
        <v>570.9</v>
      </c>
      <c r="G32">
        <v>10</v>
      </c>
      <c r="I32" t="str">
        <v>Shadows of Eternity</v>
      </c>
      <c r="J32" t="str">
        <v>Emma Clark</v>
      </c>
      <c r="K32" t="str">
        <v>Fantasy</v>
      </c>
      <c r="L32">
        <v>2021</v>
      </c>
      <c r="M32">
        <v>520.75</v>
      </c>
      <c r="N32">
        <v>10</v>
      </c>
    </row>
    <row r="33" spans="1:14" hidden="1" x14ac:dyDescent="0.3">
      <c r="A33">
        <v>25</v>
      </c>
      <c r="B33" t="s">
        <v>63</v>
      </c>
      <c r="C33" t="s">
        <v>64</v>
      </c>
      <c r="D33" t="s">
        <v>23</v>
      </c>
      <c r="E33">
        <v>2017</v>
      </c>
      <c r="F33">
        <v>360</v>
      </c>
      <c r="G33">
        <v>18</v>
      </c>
      <c r="I33" t="str">
        <v>Shadows Over Avalon</v>
      </c>
      <c r="J33" t="str">
        <v>Benjamin Hill</v>
      </c>
      <c r="K33" t="str">
        <v>Fantasy</v>
      </c>
      <c r="L33">
        <v>2021</v>
      </c>
      <c r="M33">
        <v>620</v>
      </c>
      <c r="N33">
        <v>7</v>
      </c>
    </row>
    <row r="34" spans="1:14" hidden="1" x14ac:dyDescent="0.3">
      <c r="A34">
        <v>59</v>
      </c>
      <c r="B34" t="s">
        <v>133</v>
      </c>
      <c r="C34" t="s">
        <v>134</v>
      </c>
      <c r="D34" t="s">
        <v>26</v>
      </c>
      <c r="E34">
        <v>2020</v>
      </c>
      <c r="F34">
        <v>550.9</v>
      </c>
      <c r="G34">
        <v>9</v>
      </c>
      <c r="I34" t="str">
        <v>The Broken Spell</v>
      </c>
      <c r="J34" t="str">
        <v>Sofia Jenkins</v>
      </c>
      <c r="K34" t="str">
        <v>Fantasy</v>
      </c>
      <c r="L34">
        <v>2018</v>
      </c>
      <c r="M34">
        <v>470.1</v>
      </c>
      <c r="N34">
        <v>14</v>
      </c>
    </row>
    <row r="35" spans="1:14" hidden="1" x14ac:dyDescent="0.3">
      <c r="A35">
        <v>6</v>
      </c>
      <c r="B35" t="s">
        <v>21</v>
      </c>
      <c r="C35" t="s">
        <v>22</v>
      </c>
      <c r="D35" t="s">
        <v>23</v>
      </c>
      <c r="E35">
        <v>2015</v>
      </c>
      <c r="F35">
        <v>280.39999999999998</v>
      </c>
      <c r="G35">
        <v>8</v>
      </c>
      <c r="I35" t="str">
        <v>The Crimson Queen</v>
      </c>
      <c r="J35" t="str">
        <v>Grace Evans</v>
      </c>
      <c r="K35" t="str">
        <v>Fantasy</v>
      </c>
      <c r="L35">
        <v>2020</v>
      </c>
      <c r="M35">
        <v>540</v>
      </c>
      <c r="N35">
        <v>9</v>
      </c>
    </row>
    <row r="36" spans="1:14" hidden="1" x14ac:dyDescent="0.3">
      <c r="A36">
        <v>68</v>
      </c>
      <c r="B36" t="s">
        <v>151</v>
      </c>
      <c r="C36" t="s">
        <v>152</v>
      </c>
      <c r="D36" t="s">
        <v>14</v>
      </c>
      <c r="E36">
        <v>2021</v>
      </c>
      <c r="F36">
        <v>320</v>
      </c>
      <c r="G36">
        <v>21</v>
      </c>
      <c r="I36" t="str">
        <v>The Crystal Kingdom</v>
      </c>
      <c r="J36" t="str">
        <v>Liam Cooper</v>
      </c>
      <c r="K36" t="str">
        <v>Fantasy</v>
      </c>
      <c r="L36">
        <v>2019</v>
      </c>
      <c r="M36">
        <v>490.1</v>
      </c>
      <c r="N36">
        <v>13</v>
      </c>
    </row>
    <row r="37" spans="1:14" hidden="1" x14ac:dyDescent="0.3">
      <c r="A37">
        <v>27</v>
      </c>
      <c r="B37" t="s">
        <v>67</v>
      </c>
      <c r="C37" t="s">
        <v>68</v>
      </c>
      <c r="D37" t="s">
        <v>8</v>
      </c>
      <c r="E37">
        <v>2015</v>
      </c>
      <c r="F37">
        <v>340</v>
      </c>
      <c r="G37">
        <v>20</v>
      </c>
      <c r="I37" t="str">
        <v>The Emerald Flame</v>
      </c>
      <c r="J37" t="str">
        <v>Isabella Turner</v>
      </c>
      <c r="K37" t="str">
        <v>Fantasy</v>
      </c>
      <c r="L37">
        <v>2017</v>
      </c>
      <c r="M37">
        <v>450.9</v>
      </c>
      <c r="N37">
        <v>18</v>
      </c>
    </row>
    <row r="38" spans="1:14" hidden="1" x14ac:dyDescent="0.3">
      <c r="A38">
        <v>45</v>
      </c>
      <c r="B38" t="s">
        <v>105</v>
      </c>
      <c r="C38" t="s">
        <v>106</v>
      </c>
      <c r="D38" t="s">
        <v>54</v>
      </c>
      <c r="E38">
        <v>2019</v>
      </c>
      <c r="F38">
        <v>420</v>
      </c>
      <c r="G38">
        <v>15</v>
      </c>
      <c r="I38" t="str">
        <v>The Eternal Flame</v>
      </c>
      <c r="J38" t="str">
        <v>Olivia Moore</v>
      </c>
      <c r="K38" t="str">
        <v>Fantasy</v>
      </c>
      <c r="L38">
        <v>2020</v>
      </c>
      <c r="M38">
        <v>520.1</v>
      </c>
      <c r="N38">
        <v>9</v>
      </c>
    </row>
    <row r="39" spans="1:14" hidden="1" x14ac:dyDescent="0.3">
      <c r="A39">
        <v>103</v>
      </c>
      <c r="B39" t="s">
        <v>219</v>
      </c>
      <c r="C39" t="s">
        <v>220</v>
      </c>
      <c r="D39" t="s">
        <v>31</v>
      </c>
      <c r="E39">
        <v>2021</v>
      </c>
      <c r="F39">
        <v>510</v>
      </c>
      <c r="G39">
        <v>9</v>
      </c>
      <c r="I39" t="str">
        <v>The Glass Kingdom</v>
      </c>
      <c r="J39" t="str">
        <v>Isabella Turner</v>
      </c>
      <c r="K39" t="str">
        <v>Fantasy</v>
      </c>
      <c r="L39">
        <v>2022</v>
      </c>
      <c r="M39">
        <v>590.9</v>
      </c>
      <c r="N39">
        <v>8</v>
      </c>
    </row>
    <row r="40" spans="1:14" hidden="1" x14ac:dyDescent="0.3">
      <c r="A40">
        <v>102</v>
      </c>
      <c r="B40" t="s">
        <v>217</v>
      </c>
      <c r="C40" t="s">
        <v>218</v>
      </c>
      <c r="D40" t="s">
        <v>14</v>
      </c>
      <c r="E40">
        <v>2020</v>
      </c>
      <c r="F40">
        <v>320.5</v>
      </c>
      <c r="G40">
        <v>23</v>
      </c>
      <c r="I40" t="str">
        <v>The Golden Compass</v>
      </c>
      <c r="J40" t="str">
        <v>Ella Foster</v>
      </c>
      <c r="K40" t="str">
        <v>Fantasy</v>
      </c>
      <c r="L40">
        <v>2019</v>
      </c>
      <c r="M40">
        <v>490.25</v>
      </c>
      <c r="N40">
        <v>10</v>
      </c>
    </row>
    <row r="41" spans="1:14" x14ac:dyDescent="0.3">
      <c r="A41">
        <v>47</v>
      </c>
      <c r="B41" t="s">
        <v>109</v>
      </c>
      <c r="C41" t="s">
        <v>110</v>
      </c>
      <c r="D41" t="s">
        <v>11</v>
      </c>
      <c r="E41">
        <v>2021</v>
      </c>
      <c r="F41">
        <v>680.75</v>
      </c>
      <c r="G41">
        <v>6</v>
      </c>
      <c r="I41" t="str">
        <v>The Lost Horizon</v>
      </c>
      <c r="J41" t="str">
        <v>Sophia Green</v>
      </c>
      <c r="K41" t="str">
        <v>Fantasy</v>
      </c>
      <c r="L41">
        <v>2017</v>
      </c>
      <c r="M41">
        <v>530.1</v>
      </c>
      <c r="N41">
        <v>13</v>
      </c>
    </row>
    <row r="42" spans="1:14" hidden="1" x14ac:dyDescent="0.3">
      <c r="A42">
        <v>92</v>
      </c>
      <c r="B42" t="s">
        <v>198</v>
      </c>
      <c r="C42" t="s">
        <v>199</v>
      </c>
      <c r="D42" t="s">
        <v>14</v>
      </c>
      <c r="E42">
        <v>2022</v>
      </c>
      <c r="F42">
        <v>310</v>
      </c>
      <c r="G42">
        <v>18</v>
      </c>
      <c r="I42" t="str">
        <v>The Night Circus</v>
      </c>
      <c r="J42" t="str">
        <v>Arthur Hayes</v>
      </c>
      <c r="K42" t="str">
        <v>Fantasy</v>
      </c>
      <c r="L42">
        <v>2016</v>
      </c>
      <c r="M42">
        <v>440</v>
      </c>
      <c r="N42">
        <v>19</v>
      </c>
    </row>
    <row r="43" spans="1:14" hidden="1" x14ac:dyDescent="0.3">
      <c r="A43">
        <v>46</v>
      </c>
      <c r="B43" t="s">
        <v>107</v>
      </c>
      <c r="C43" t="s">
        <v>108</v>
      </c>
      <c r="D43" t="s">
        <v>20</v>
      </c>
      <c r="E43">
        <v>2020</v>
      </c>
      <c r="F43">
        <v>550.29999999999995</v>
      </c>
      <c r="G43">
        <v>10</v>
      </c>
      <c r="I43" t="str">
        <v>The Painted Mirror</v>
      </c>
      <c r="J43" t="str">
        <v>Logan Ward</v>
      </c>
      <c r="K43" t="str">
        <v>Fantasy</v>
      </c>
      <c r="L43">
        <v>2022</v>
      </c>
      <c r="M43">
        <v>620.75</v>
      </c>
      <c r="N43">
        <v>6</v>
      </c>
    </row>
    <row r="44" spans="1:14" x14ac:dyDescent="0.3">
      <c r="A44">
        <v>70</v>
      </c>
      <c r="B44" t="s">
        <v>155</v>
      </c>
      <c r="C44" t="s">
        <v>156</v>
      </c>
      <c r="D44" t="s">
        <v>11</v>
      </c>
      <c r="E44">
        <v>2020</v>
      </c>
      <c r="F44">
        <v>720</v>
      </c>
      <c r="G44">
        <v>8</v>
      </c>
      <c r="I44" t="str">
        <v>The Secret Heir</v>
      </c>
      <c r="J44" t="str">
        <v>Sophia Carter</v>
      </c>
      <c r="K44" t="str">
        <v>Fantasy</v>
      </c>
      <c r="L44">
        <v>2020</v>
      </c>
      <c r="M44">
        <v>540.20000000000005</v>
      </c>
      <c r="N44">
        <v>12</v>
      </c>
    </row>
    <row r="45" spans="1:14" hidden="1" x14ac:dyDescent="0.3">
      <c r="A45">
        <v>35</v>
      </c>
      <c r="B45" t="s">
        <v>85</v>
      </c>
      <c r="C45" t="s">
        <v>86</v>
      </c>
      <c r="D45" t="s">
        <v>14</v>
      </c>
      <c r="E45">
        <v>2017</v>
      </c>
      <c r="F45">
        <v>330.75</v>
      </c>
      <c r="G45">
        <v>19</v>
      </c>
      <c r="I45" t="str">
        <v>The Silver Wolf</v>
      </c>
      <c r="J45" t="str">
        <v>Sofia Jenkins</v>
      </c>
      <c r="K45" t="str">
        <v>Fantasy</v>
      </c>
      <c r="L45">
        <v>2019</v>
      </c>
      <c r="M45">
        <v>530.25</v>
      </c>
      <c r="N45">
        <v>10</v>
      </c>
    </row>
    <row r="46" spans="1:14" hidden="1" x14ac:dyDescent="0.3">
      <c r="A46">
        <v>17</v>
      </c>
      <c r="B46" t="s">
        <v>46</v>
      </c>
      <c r="C46" t="s">
        <v>47</v>
      </c>
      <c r="D46" t="s">
        <v>8</v>
      </c>
      <c r="E46">
        <v>2021</v>
      </c>
      <c r="F46">
        <v>510.45</v>
      </c>
      <c r="G46">
        <v>8</v>
      </c>
      <c r="I46" t="str">
        <v>The Wandering Soul</v>
      </c>
      <c r="J46" t="str">
        <v>Nathan Mitchell</v>
      </c>
      <c r="K46" t="str">
        <v>Fantasy</v>
      </c>
      <c r="L46">
        <v>2020</v>
      </c>
      <c r="M46">
        <v>460.5</v>
      </c>
      <c r="N46">
        <v>12</v>
      </c>
    </row>
    <row r="47" spans="1:14" hidden="1" x14ac:dyDescent="0.3">
      <c r="A47">
        <v>5</v>
      </c>
      <c r="B47" t="s">
        <v>18</v>
      </c>
      <c r="C47" t="s">
        <v>19</v>
      </c>
      <c r="D47" t="s">
        <v>20</v>
      </c>
      <c r="E47">
        <v>2021</v>
      </c>
      <c r="F47">
        <v>520.75</v>
      </c>
      <c r="G47">
        <v>10</v>
      </c>
      <c r="I47" t="str">
        <v>Whispers of the Forest</v>
      </c>
      <c r="J47" t="str">
        <v>Andrew Morris</v>
      </c>
      <c r="K47" t="str">
        <v>Fantasy</v>
      </c>
      <c r="L47">
        <v>2022</v>
      </c>
      <c r="M47">
        <v>590.25</v>
      </c>
      <c r="N47">
        <v>8</v>
      </c>
    </row>
    <row r="48" spans="1:14" hidden="1" x14ac:dyDescent="0.3">
      <c r="A48">
        <v>97</v>
      </c>
      <c r="B48" t="s">
        <v>207</v>
      </c>
      <c r="C48" t="s">
        <v>208</v>
      </c>
      <c r="D48" t="s">
        <v>20</v>
      </c>
      <c r="E48">
        <v>2021</v>
      </c>
      <c r="F48">
        <v>620</v>
      </c>
      <c r="G48">
        <v>7</v>
      </c>
      <c r="I48" t="str">
        <v>Winds of Time</v>
      </c>
      <c r="J48" t="str">
        <v>Ava Scott</v>
      </c>
      <c r="K48" t="str">
        <v>Fantasy</v>
      </c>
      <c r="L48">
        <v>2019</v>
      </c>
      <c r="M48">
        <v>520</v>
      </c>
      <c r="N48">
        <v>12</v>
      </c>
    </row>
    <row r="49" spans="1:14" x14ac:dyDescent="0.3">
      <c r="A49">
        <v>28</v>
      </c>
      <c r="B49" t="s">
        <v>69</v>
      </c>
      <c r="C49" t="s">
        <v>70</v>
      </c>
      <c r="D49" t="s">
        <v>71</v>
      </c>
      <c r="E49">
        <v>2020</v>
      </c>
      <c r="F49">
        <v>420</v>
      </c>
      <c r="G49">
        <v>15</v>
      </c>
      <c r="I49" t="str">
        <v>Wings of Glass</v>
      </c>
      <c r="J49" t="str">
        <v>Isabella Reed</v>
      </c>
      <c r="K49" t="str">
        <v>Fantasy</v>
      </c>
      <c r="L49">
        <v>2017</v>
      </c>
      <c r="M49">
        <v>470.1</v>
      </c>
      <c r="N49">
        <v>18</v>
      </c>
    </row>
    <row r="50" spans="1:14" hidden="1" x14ac:dyDescent="0.3">
      <c r="A50">
        <v>66</v>
      </c>
      <c r="B50" t="s">
        <v>147</v>
      </c>
      <c r="C50" t="s">
        <v>148</v>
      </c>
      <c r="D50" t="s">
        <v>11</v>
      </c>
      <c r="E50">
        <v>2019</v>
      </c>
      <c r="F50">
        <v>670.1</v>
      </c>
      <c r="G50">
        <v>6</v>
      </c>
      <c r="I50" t="str">
        <v>Ashes of the Empire</v>
      </c>
      <c r="J50" t="str">
        <v>Harper Scott</v>
      </c>
      <c r="K50" t="str">
        <v>Historical Fiction</v>
      </c>
      <c r="L50">
        <v>2016</v>
      </c>
      <c r="M50">
        <v>450</v>
      </c>
      <c r="N50">
        <v>14</v>
      </c>
    </row>
    <row r="51" spans="1:14" hidden="1" x14ac:dyDescent="0.3">
      <c r="A51">
        <v>36</v>
      </c>
      <c r="B51" t="s">
        <v>87</v>
      </c>
      <c r="C51" t="s">
        <v>88</v>
      </c>
      <c r="D51" t="s">
        <v>20</v>
      </c>
      <c r="E51">
        <v>2018</v>
      </c>
      <c r="F51">
        <v>470.1</v>
      </c>
      <c r="G51">
        <v>14</v>
      </c>
      <c r="I51" t="str">
        <v>Beneath the Crimson Sky</v>
      </c>
      <c r="J51" t="str">
        <v>Noah Brooks</v>
      </c>
      <c r="K51" t="str">
        <v>Historical Fiction</v>
      </c>
      <c r="L51">
        <v>2019</v>
      </c>
      <c r="M51">
        <v>450.25</v>
      </c>
      <c r="N51">
        <v>14</v>
      </c>
    </row>
    <row r="52" spans="1:14" hidden="1" x14ac:dyDescent="0.3">
      <c r="A52">
        <v>77</v>
      </c>
      <c r="B52" t="s">
        <v>169</v>
      </c>
      <c r="C52" t="s">
        <v>170</v>
      </c>
      <c r="D52" t="s">
        <v>31</v>
      </c>
      <c r="E52">
        <v>2018</v>
      </c>
      <c r="F52">
        <v>480.5</v>
      </c>
      <c r="G52">
        <v>16</v>
      </c>
      <c r="I52" t="str">
        <v>Blood and Ashes</v>
      </c>
      <c r="J52" t="str">
        <v>Sienna Reed</v>
      </c>
      <c r="K52" t="str">
        <v>Historical Fiction</v>
      </c>
      <c r="L52">
        <v>2021</v>
      </c>
      <c r="M52">
        <v>490.75</v>
      </c>
      <c r="N52">
        <v>8</v>
      </c>
    </row>
    <row r="53" spans="1:14" hidden="1" x14ac:dyDescent="0.3">
      <c r="A53">
        <v>80</v>
      </c>
      <c r="B53" t="s">
        <v>174</v>
      </c>
      <c r="C53" t="s">
        <v>175</v>
      </c>
      <c r="D53" t="s">
        <v>176</v>
      </c>
      <c r="E53">
        <v>2021</v>
      </c>
      <c r="F53">
        <v>610</v>
      </c>
      <c r="G53">
        <v>8</v>
      </c>
      <c r="I53" t="str">
        <v>The Hollow Crown</v>
      </c>
      <c r="J53" t="str">
        <v>Henry Bennett</v>
      </c>
      <c r="K53" t="str">
        <v>Historical Fiction</v>
      </c>
      <c r="L53">
        <v>2016</v>
      </c>
      <c r="M53">
        <v>460.25</v>
      </c>
      <c r="N53">
        <v>15</v>
      </c>
    </row>
    <row r="54" spans="1:14" hidden="1" x14ac:dyDescent="0.3">
      <c r="A54">
        <v>99</v>
      </c>
      <c r="B54" t="s">
        <v>211</v>
      </c>
      <c r="C54" t="s">
        <v>212</v>
      </c>
      <c r="D54" t="s">
        <v>20</v>
      </c>
      <c r="E54">
        <v>2020</v>
      </c>
      <c r="F54">
        <v>540</v>
      </c>
      <c r="G54">
        <v>9</v>
      </c>
      <c r="I54" t="str">
        <v>The Iron Throne</v>
      </c>
      <c r="J54" t="str">
        <v>Noah Brooks</v>
      </c>
      <c r="K54" t="str">
        <v>Historical Fiction</v>
      </c>
      <c r="L54">
        <v>2018</v>
      </c>
      <c r="M54">
        <v>480.25</v>
      </c>
      <c r="N54">
        <v>9</v>
      </c>
    </row>
    <row r="55" spans="1:14" hidden="1" x14ac:dyDescent="0.3">
      <c r="A55">
        <v>74</v>
      </c>
      <c r="B55" t="s">
        <v>163</v>
      </c>
      <c r="C55" t="s">
        <v>164</v>
      </c>
      <c r="D55" t="s">
        <v>20</v>
      </c>
      <c r="E55">
        <v>2019</v>
      </c>
      <c r="F55">
        <v>490.1</v>
      </c>
      <c r="G55">
        <v>13</v>
      </c>
      <c r="I55" t="str">
        <v>The Scarlet Blade</v>
      </c>
      <c r="J55" t="str">
        <v>Benjamin Hughes</v>
      </c>
      <c r="K55" t="str">
        <v>Historical Fiction</v>
      </c>
      <c r="L55">
        <v>2022</v>
      </c>
      <c r="M55">
        <v>490</v>
      </c>
      <c r="N55">
        <v>11</v>
      </c>
    </row>
    <row r="56" spans="1:14" x14ac:dyDescent="0.3">
      <c r="A56">
        <v>98</v>
      </c>
      <c r="B56" t="s">
        <v>209</v>
      </c>
      <c r="C56" t="s">
        <v>210</v>
      </c>
      <c r="D56" t="s">
        <v>11</v>
      </c>
      <c r="E56">
        <v>2022</v>
      </c>
      <c r="F56">
        <v>700.25</v>
      </c>
      <c r="G56">
        <v>8</v>
      </c>
      <c r="I56" t="str">
        <v>The Winter’s Crown</v>
      </c>
      <c r="J56" t="str">
        <v>Victoria Hall</v>
      </c>
      <c r="K56" t="str">
        <v>Historical Fiction</v>
      </c>
      <c r="L56">
        <v>2016</v>
      </c>
      <c r="M56">
        <v>460.25</v>
      </c>
      <c r="N56">
        <v>13</v>
      </c>
    </row>
    <row r="57" spans="1:14" hidden="1" x14ac:dyDescent="0.3">
      <c r="A57">
        <v>89</v>
      </c>
      <c r="B57" t="s">
        <v>193</v>
      </c>
      <c r="C57" t="s">
        <v>45</v>
      </c>
      <c r="D57" t="s">
        <v>26</v>
      </c>
      <c r="E57">
        <v>2021</v>
      </c>
      <c r="F57">
        <v>610.4</v>
      </c>
      <c r="G57">
        <v>10</v>
      </c>
      <c r="I57" t="str">
        <v>Under the Midnight Sun</v>
      </c>
      <c r="J57" t="str">
        <v>Michael Brown</v>
      </c>
      <c r="K57" t="str">
        <v>Historical Fiction</v>
      </c>
      <c r="L57">
        <v>2018</v>
      </c>
      <c r="M57">
        <v>470.25</v>
      </c>
      <c r="N57">
        <v>14</v>
      </c>
    </row>
    <row r="58" spans="1:14" hidden="1" x14ac:dyDescent="0.3">
      <c r="A58">
        <v>50</v>
      </c>
      <c r="B58" t="s">
        <v>115</v>
      </c>
      <c r="C58" t="s">
        <v>116</v>
      </c>
      <c r="D58" t="s">
        <v>26</v>
      </c>
      <c r="E58">
        <v>2022</v>
      </c>
      <c r="F58">
        <v>610.5</v>
      </c>
      <c r="G58">
        <v>7</v>
      </c>
      <c r="I58" t="str">
        <v>Under the Scarlet Sky</v>
      </c>
      <c r="J58" t="str">
        <v>Mia Walker</v>
      </c>
      <c r="K58" t="str">
        <v>Historical Fiction</v>
      </c>
      <c r="L58">
        <v>2018</v>
      </c>
      <c r="M58">
        <v>480.25</v>
      </c>
      <c r="N58">
        <v>13</v>
      </c>
    </row>
    <row r="59" spans="1:14" hidden="1" x14ac:dyDescent="0.3">
      <c r="A59">
        <v>67</v>
      </c>
      <c r="B59" t="s">
        <v>149</v>
      </c>
      <c r="C59" t="s">
        <v>150</v>
      </c>
      <c r="D59" t="s">
        <v>20</v>
      </c>
      <c r="E59">
        <v>2017</v>
      </c>
      <c r="F59">
        <v>450.9</v>
      </c>
      <c r="G59">
        <v>18</v>
      </c>
      <c r="I59" t="str">
        <v>Winds of the West</v>
      </c>
      <c r="J59" t="str">
        <v>Grace Adams</v>
      </c>
      <c r="K59" t="str">
        <v>Historical Fiction</v>
      </c>
      <c r="L59">
        <v>2018</v>
      </c>
      <c r="M59">
        <v>490.2</v>
      </c>
      <c r="N59">
        <v>13</v>
      </c>
    </row>
    <row r="60" spans="1:14" hidden="1" x14ac:dyDescent="0.3">
      <c r="A60">
        <v>83</v>
      </c>
      <c r="B60" t="s">
        <v>181</v>
      </c>
      <c r="C60" t="s">
        <v>182</v>
      </c>
      <c r="D60" t="s">
        <v>20</v>
      </c>
      <c r="E60">
        <v>2020</v>
      </c>
      <c r="F60">
        <v>520.1</v>
      </c>
      <c r="G60">
        <v>9</v>
      </c>
      <c r="I60" t="str">
        <v>Darkness Rising</v>
      </c>
      <c r="J60" t="str">
        <v>Isaac Turner</v>
      </c>
      <c r="K60" t="str">
        <v>Horror</v>
      </c>
      <c r="L60">
        <v>2019</v>
      </c>
      <c r="M60">
        <v>520.75</v>
      </c>
      <c r="N60">
        <v>9</v>
      </c>
    </row>
    <row r="61" spans="1:14" hidden="1" x14ac:dyDescent="0.3">
      <c r="A61">
        <v>101</v>
      </c>
      <c r="B61" t="s">
        <v>215</v>
      </c>
      <c r="C61" t="s">
        <v>216</v>
      </c>
      <c r="D61" t="s">
        <v>11</v>
      </c>
      <c r="E61">
        <v>2019</v>
      </c>
      <c r="F61">
        <v>680</v>
      </c>
      <c r="G61">
        <v>7</v>
      </c>
      <c r="I61" t="str">
        <v>Into the Abyss</v>
      </c>
      <c r="J61" t="str">
        <v>Ella Stewart</v>
      </c>
      <c r="K61" t="str">
        <v>Horror</v>
      </c>
      <c r="L61">
        <v>2019</v>
      </c>
      <c r="M61">
        <v>420</v>
      </c>
      <c r="N61">
        <v>15</v>
      </c>
    </row>
    <row r="62" spans="1:14" hidden="1" x14ac:dyDescent="0.3">
      <c r="A62">
        <v>71</v>
      </c>
      <c r="B62" t="s">
        <v>157</v>
      </c>
      <c r="C62" t="s">
        <v>158</v>
      </c>
      <c r="D62" t="s">
        <v>31</v>
      </c>
      <c r="E62">
        <v>2022</v>
      </c>
      <c r="F62">
        <v>510.4</v>
      </c>
      <c r="G62">
        <v>9</v>
      </c>
      <c r="I62" t="str">
        <v>The Haunting of Willow Lake</v>
      </c>
      <c r="J62" t="str">
        <v>Layla Rogers</v>
      </c>
      <c r="K62" t="str">
        <v>Horror</v>
      </c>
      <c r="L62">
        <v>2016</v>
      </c>
      <c r="M62">
        <v>400</v>
      </c>
      <c r="N62">
        <v>8</v>
      </c>
    </row>
    <row r="63" spans="1:14" hidden="1" x14ac:dyDescent="0.3">
      <c r="A63">
        <v>9</v>
      </c>
      <c r="B63" t="s">
        <v>29</v>
      </c>
      <c r="C63" t="s">
        <v>30</v>
      </c>
      <c r="D63" t="s">
        <v>31</v>
      </c>
      <c r="E63">
        <v>2019</v>
      </c>
      <c r="F63">
        <v>540</v>
      </c>
      <c r="G63">
        <v>15</v>
      </c>
      <c r="I63" t="str">
        <v>Voices from the Deep</v>
      </c>
      <c r="J63" t="str">
        <v>Evelyn James</v>
      </c>
      <c r="K63" t="str">
        <v>Horror</v>
      </c>
      <c r="L63">
        <v>2018</v>
      </c>
      <c r="M63">
        <v>390</v>
      </c>
      <c r="N63">
        <v>12</v>
      </c>
    </row>
    <row r="64" spans="1:14" hidden="1" x14ac:dyDescent="0.3">
      <c r="A64">
        <v>104</v>
      </c>
      <c r="B64" t="s">
        <v>221</v>
      </c>
      <c r="C64" t="s">
        <v>150</v>
      </c>
      <c r="D64" t="s">
        <v>20</v>
      </c>
      <c r="E64">
        <v>2022</v>
      </c>
      <c r="F64">
        <v>590.9</v>
      </c>
      <c r="G64">
        <v>8</v>
      </c>
      <c r="I64" t="str">
        <v>Voices in the Dark</v>
      </c>
      <c r="J64" t="str">
        <v>Eli Parker</v>
      </c>
      <c r="K64" t="str">
        <v>Horror</v>
      </c>
      <c r="L64">
        <v>2019</v>
      </c>
      <c r="M64">
        <v>410.1</v>
      </c>
      <c r="N64">
        <v>16</v>
      </c>
    </row>
    <row r="65" spans="1:14" hidden="1" x14ac:dyDescent="0.3">
      <c r="A65">
        <v>44</v>
      </c>
      <c r="B65" t="s">
        <v>103</v>
      </c>
      <c r="C65" t="s">
        <v>104</v>
      </c>
      <c r="D65" t="s">
        <v>26</v>
      </c>
      <c r="E65">
        <v>2017</v>
      </c>
      <c r="F65">
        <v>360.9</v>
      </c>
      <c r="G65">
        <v>17</v>
      </c>
      <c r="I65" t="str">
        <v>House of Secrets</v>
      </c>
      <c r="J65" t="str">
        <v>Matthew Reed</v>
      </c>
      <c r="K65" t="str">
        <v>Mystery</v>
      </c>
      <c r="L65">
        <v>2015</v>
      </c>
      <c r="M65">
        <v>340</v>
      </c>
      <c r="N65">
        <v>20</v>
      </c>
    </row>
    <row r="66" spans="1:14" hidden="1" x14ac:dyDescent="0.3">
      <c r="A66">
        <v>26</v>
      </c>
      <c r="B66" t="s">
        <v>65</v>
      </c>
      <c r="C66" t="s">
        <v>66</v>
      </c>
      <c r="D66" t="s">
        <v>20</v>
      </c>
      <c r="E66">
        <v>2019</v>
      </c>
      <c r="F66">
        <v>490.25</v>
      </c>
      <c r="G66">
        <v>10</v>
      </c>
      <c r="I66" t="str">
        <v>Secrets of the Labyrinth</v>
      </c>
      <c r="J66" t="str">
        <v>Lucas Hill</v>
      </c>
      <c r="K66" t="str">
        <v>Mystery</v>
      </c>
      <c r="L66">
        <v>2021</v>
      </c>
      <c r="M66">
        <v>510.45</v>
      </c>
      <c r="N66">
        <v>8</v>
      </c>
    </row>
    <row r="67" spans="1:14" hidden="1" x14ac:dyDescent="0.3">
      <c r="A67">
        <v>38</v>
      </c>
      <c r="B67" t="s">
        <v>91</v>
      </c>
      <c r="C67" t="s">
        <v>92</v>
      </c>
      <c r="D67" t="s">
        <v>54</v>
      </c>
      <c r="E67">
        <v>2016</v>
      </c>
      <c r="F67">
        <v>400</v>
      </c>
      <c r="G67">
        <v>8</v>
      </c>
      <c r="I67" t="str">
        <v>The Hidden Truth</v>
      </c>
      <c r="J67" t="str">
        <v>Lucas Allen</v>
      </c>
      <c r="K67" t="str">
        <v>Mystery</v>
      </c>
      <c r="L67">
        <v>2020</v>
      </c>
      <c r="M67">
        <v>420</v>
      </c>
      <c r="N67">
        <v>11</v>
      </c>
    </row>
    <row r="68" spans="1:14" hidden="1" x14ac:dyDescent="0.3">
      <c r="A68">
        <v>57</v>
      </c>
      <c r="B68" t="s">
        <v>129</v>
      </c>
      <c r="C68" t="s">
        <v>130</v>
      </c>
      <c r="D68" t="s">
        <v>31</v>
      </c>
      <c r="E68">
        <v>2017</v>
      </c>
      <c r="F68">
        <v>470.6</v>
      </c>
      <c r="G68">
        <v>18</v>
      </c>
      <c r="I68" t="str">
        <v>The Silent River</v>
      </c>
      <c r="J68" t="str">
        <v>Ava Thompson</v>
      </c>
      <c r="K68" t="str">
        <v>Mystery</v>
      </c>
      <c r="L68">
        <v>2018</v>
      </c>
      <c r="M68">
        <v>399.99</v>
      </c>
      <c r="N68">
        <v>12</v>
      </c>
    </row>
    <row r="69" spans="1:14" hidden="1" x14ac:dyDescent="0.3">
      <c r="A69">
        <v>76</v>
      </c>
      <c r="B69" t="s">
        <v>167</v>
      </c>
      <c r="C69" t="s">
        <v>168</v>
      </c>
      <c r="D69" t="s">
        <v>8</v>
      </c>
      <c r="E69">
        <v>2020</v>
      </c>
      <c r="F69">
        <v>420</v>
      </c>
      <c r="G69">
        <v>11</v>
      </c>
      <c r="I69" t="str">
        <v>The Vanishing Point</v>
      </c>
      <c r="J69" t="str">
        <v>Daniel Ross</v>
      </c>
      <c r="K69" t="str">
        <v>Mystery</v>
      </c>
      <c r="L69">
        <v>2020</v>
      </c>
      <c r="M69">
        <v>440.75</v>
      </c>
      <c r="N69">
        <v>16</v>
      </c>
    </row>
    <row r="70" spans="1:14" hidden="1" x14ac:dyDescent="0.3">
      <c r="A70">
        <v>72</v>
      </c>
      <c r="B70" t="s">
        <v>159</v>
      </c>
      <c r="C70" t="s">
        <v>160</v>
      </c>
      <c r="D70" t="s">
        <v>17</v>
      </c>
      <c r="E70">
        <v>2016</v>
      </c>
      <c r="F70">
        <v>460.25</v>
      </c>
      <c r="G70">
        <v>15</v>
      </c>
      <c r="I70" t="str">
        <v>Shattered Reflections</v>
      </c>
      <c r="J70" t="str">
        <v>Abigail Gray</v>
      </c>
      <c r="K70" t="str">
        <v>Psychological Fiction</v>
      </c>
      <c r="L70">
        <v>2020</v>
      </c>
      <c r="M70">
        <v>420</v>
      </c>
      <c r="N70">
        <v>15</v>
      </c>
    </row>
    <row r="71" spans="1:14" x14ac:dyDescent="0.3">
      <c r="A71">
        <v>39</v>
      </c>
      <c r="B71" t="s">
        <v>93</v>
      </c>
      <c r="C71" t="s">
        <v>94</v>
      </c>
      <c r="D71" t="s">
        <v>11</v>
      </c>
      <c r="E71">
        <v>2020</v>
      </c>
      <c r="F71">
        <v>640</v>
      </c>
      <c r="G71">
        <v>7</v>
      </c>
      <c r="I71" t="str">
        <v>A Song of Fireflies</v>
      </c>
      <c r="J71" t="str">
        <v>Grace Hughes</v>
      </c>
      <c r="K71" t="str">
        <v>Romance</v>
      </c>
      <c r="L71">
        <v>2017</v>
      </c>
      <c r="M71">
        <v>310</v>
      </c>
      <c r="N71">
        <v>19</v>
      </c>
    </row>
    <row r="72" spans="1:14" hidden="1" x14ac:dyDescent="0.3">
      <c r="A72">
        <v>7</v>
      </c>
      <c r="B72" t="s">
        <v>24</v>
      </c>
      <c r="C72" t="s">
        <v>25</v>
      </c>
      <c r="D72" t="s">
        <v>26</v>
      </c>
      <c r="E72">
        <v>2022</v>
      </c>
      <c r="F72">
        <v>610</v>
      </c>
      <c r="G72">
        <v>7</v>
      </c>
      <c r="I72" t="str">
        <v>A Winter’s Promise</v>
      </c>
      <c r="J72" t="str">
        <v>Grace Collins</v>
      </c>
      <c r="K72" t="str">
        <v>Romance</v>
      </c>
      <c r="L72">
        <v>2019</v>
      </c>
      <c r="M72">
        <v>320</v>
      </c>
      <c r="N72">
        <v>22</v>
      </c>
    </row>
    <row r="73" spans="1:14" hidden="1" x14ac:dyDescent="0.3">
      <c r="A73">
        <v>95</v>
      </c>
      <c r="B73" t="s">
        <v>204</v>
      </c>
      <c r="C73" t="s">
        <v>16</v>
      </c>
      <c r="D73" t="s">
        <v>17</v>
      </c>
      <c r="E73">
        <v>2018</v>
      </c>
      <c r="F73">
        <v>480.25</v>
      </c>
      <c r="G73">
        <v>9</v>
      </c>
      <c r="I73" t="str">
        <v>Beneath the Moon</v>
      </c>
      <c r="J73" t="str">
        <v>Liam Thompson</v>
      </c>
      <c r="K73" t="str">
        <v>Romance</v>
      </c>
      <c r="L73">
        <v>2018</v>
      </c>
      <c r="M73">
        <v>290</v>
      </c>
      <c r="N73">
        <v>25</v>
      </c>
    </row>
    <row r="74" spans="1:14" hidden="1" x14ac:dyDescent="0.3">
      <c r="A74">
        <v>60</v>
      </c>
      <c r="B74" t="s">
        <v>135</v>
      </c>
      <c r="C74" t="s">
        <v>136</v>
      </c>
      <c r="D74" t="s">
        <v>31</v>
      </c>
      <c r="E74">
        <v>2019</v>
      </c>
      <c r="F74">
        <v>500.3</v>
      </c>
      <c r="G74">
        <v>14</v>
      </c>
      <c r="I74" t="str">
        <v>Heart of Shadows</v>
      </c>
      <c r="J74" t="str">
        <v>Charlotte Morgan</v>
      </c>
      <c r="K74" t="str">
        <v>Romance</v>
      </c>
      <c r="L74">
        <v>2021</v>
      </c>
      <c r="M74">
        <v>320</v>
      </c>
      <c r="N74">
        <v>21</v>
      </c>
    </row>
    <row r="75" spans="1:14" hidden="1" x14ac:dyDescent="0.3">
      <c r="A75">
        <v>31</v>
      </c>
      <c r="B75" t="s">
        <v>77</v>
      </c>
      <c r="C75" t="s">
        <v>78</v>
      </c>
      <c r="D75" t="s">
        <v>31</v>
      </c>
      <c r="E75">
        <v>2018</v>
      </c>
      <c r="F75">
        <v>480.6</v>
      </c>
      <c r="G75">
        <v>17</v>
      </c>
      <c r="I75" t="str">
        <v>Moonlight Sonata</v>
      </c>
      <c r="J75" t="str">
        <v>Charlotte Adams</v>
      </c>
      <c r="K75" t="str">
        <v>Romance</v>
      </c>
      <c r="L75">
        <v>2020</v>
      </c>
      <c r="M75">
        <v>320.5</v>
      </c>
      <c r="N75">
        <v>23</v>
      </c>
    </row>
    <row r="76" spans="1:14" hidden="1" x14ac:dyDescent="0.3">
      <c r="A76">
        <v>100</v>
      </c>
      <c r="B76" t="s">
        <v>213</v>
      </c>
      <c r="C76" t="s">
        <v>214</v>
      </c>
      <c r="D76" t="s">
        <v>31</v>
      </c>
      <c r="E76">
        <v>2018</v>
      </c>
      <c r="F76">
        <v>490.25</v>
      </c>
      <c r="G76">
        <v>14</v>
      </c>
      <c r="I76" t="str">
        <v>Ocean’s Whisper</v>
      </c>
      <c r="J76" t="str">
        <v>Mia Adams</v>
      </c>
      <c r="K76" t="str">
        <v>Romance</v>
      </c>
      <c r="L76">
        <v>2022</v>
      </c>
      <c r="M76">
        <v>310</v>
      </c>
      <c r="N76">
        <v>18</v>
      </c>
    </row>
    <row r="77" spans="1:14" hidden="1" x14ac:dyDescent="0.3">
      <c r="A77">
        <v>94</v>
      </c>
      <c r="B77" t="s">
        <v>202</v>
      </c>
      <c r="C77" t="s">
        <v>203</v>
      </c>
      <c r="D77" t="s">
        <v>20</v>
      </c>
      <c r="E77">
        <v>2017</v>
      </c>
      <c r="F77">
        <v>530.1</v>
      </c>
      <c r="G77">
        <v>13</v>
      </c>
      <c r="I77" t="str">
        <v>River of Dreams</v>
      </c>
      <c r="J77" t="str">
        <v>Aiden Morris</v>
      </c>
      <c r="K77" t="str">
        <v>Romance</v>
      </c>
      <c r="L77">
        <v>2017</v>
      </c>
      <c r="M77">
        <v>330.75</v>
      </c>
      <c r="N77">
        <v>19</v>
      </c>
    </row>
    <row r="78" spans="1:14" hidden="1" x14ac:dyDescent="0.3">
      <c r="A78">
        <v>29</v>
      </c>
      <c r="B78" t="s">
        <v>72</v>
      </c>
      <c r="C78" t="s">
        <v>73</v>
      </c>
      <c r="D78" t="s">
        <v>74</v>
      </c>
      <c r="E78">
        <v>2021</v>
      </c>
      <c r="F78">
        <v>550.9</v>
      </c>
      <c r="G78">
        <v>6</v>
      </c>
      <c r="I78" t="str">
        <v>The Violet Garden</v>
      </c>
      <c r="J78" t="str">
        <v>Amelia Green</v>
      </c>
      <c r="K78" t="str">
        <v>Romance</v>
      </c>
      <c r="L78">
        <v>2014</v>
      </c>
      <c r="M78">
        <v>250.5</v>
      </c>
      <c r="N78">
        <v>30</v>
      </c>
    </row>
    <row r="79" spans="1:14" hidden="1" x14ac:dyDescent="0.3">
      <c r="A79">
        <v>49</v>
      </c>
      <c r="B79" t="s">
        <v>113</v>
      </c>
      <c r="C79" t="s">
        <v>114</v>
      </c>
      <c r="D79" t="s">
        <v>20</v>
      </c>
      <c r="E79">
        <v>2016</v>
      </c>
      <c r="F79">
        <v>440</v>
      </c>
      <c r="G79">
        <v>19</v>
      </c>
      <c r="I79" t="str">
        <v>When the Stars Fade</v>
      </c>
      <c r="J79" t="str">
        <v>Natalie Allen</v>
      </c>
      <c r="K79" t="str">
        <v>Romance</v>
      </c>
      <c r="L79">
        <v>2018</v>
      </c>
      <c r="M79">
        <v>290</v>
      </c>
      <c r="N79">
        <v>23</v>
      </c>
    </row>
    <row r="80" spans="1:14" hidden="1" x14ac:dyDescent="0.3">
      <c r="A80">
        <v>15</v>
      </c>
      <c r="B80" t="s">
        <v>42</v>
      </c>
      <c r="C80" t="s">
        <v>43</v>
      </c>
      <c r="D80" t="s">
        <v>20</v>
      </c>
      <c r="E80">
        <v>2022</v>
      </c>
      <c r="F80">
        <v>620.75</v>
      </c>
      <c r="G80">
        <v>6</v>
      </c>
      <c r="I80" t="str">
        <v>Whispers in the Wind</v>
      </c>
      <c r="J80" t="str">
        <v>Sophia Bennett</v>
      </c>
      <c r="K80" t="str">
        <v>Romance</v>
      </c>
      <c r="L80">
        <v>2016</v>
      </c>
      <c r="M80">
        <v>299</v>
      </c>
      <c r="N80">
        <v>20</v>
      </c>
    </row>
    <row r="81" spans="1:14" x14ac:dyDescent="0.3">
      <c r="A81">
        <v>23</v>
      </c>
      <c r="B81" t="s">
        <v>59</v>
      </c>
      <c r="C81" t="s">
        <v>60</v>
      </c>
      <c r="D81" t="s">
        <v>11</v>
      </c>
      <c r="E81">
        <v>2021</v>
      </c>
      <c r="F81">
        <v>650.75</v>
      </c>
      <c r="G81">
        <v>5</v>
      </c>
      <c r="I81" t="str">
        <v>Beyond the Stars</v>
      </c>
      <c r="J81" t="str">
        <v>Owen Stewart</v>
      </c>
      <c r="K81" t="str">
        <v>Science Fiction</v>
      </c>
      <c r="L81">
        <v>2022</v>
      </c>
      <c r="M81">
        <v>720</v>
      </c>
      <c r="N81">
        <v>8</v>
      </c>
    </row>
    <row r="82" spans="1:14" hidden="1" x14ac:dyDescent="0.3">
      <c r="A82">
        <v>42</v>
      </c>
      <c r="B82" t="s">
        <v>99</v>
      </c>
      <c r="C82" t="s">
        <v>100</v>
      </c>
      <c r="D82" t="s">
        <v>31</v>
      </c>
      <c r="E82">
        <v>2020</v>
      </c>
      <c r="F82">
        <v>410</v>
      </c>
      <c r="G82">
        <v>11</v>
      </c>
      <c r="I82" t="str">
        <v>City of Illusions</v>
      </c>
      <c r="J82" t="str">
        <v>James Ross</v>
      </c>
      <c r="K82" t="str">
        <v>Science Fiction</v>
      </c>
      <c r="L82">
        <v>2021</v>
      </c>
      <c r="M82">
        <v>680.9</v>
      </c>
      <c r="N82">
        <v>7</v>
      </c>
    </row>
    <row r="83" spans="1:14" x14ac:dyDescent="0.3">
      <c r="A83">
        <v>86</v>
      </c>
      <c r="B83" t="s">
        <v>187</v>
      </c>
      <c r="C83" t="s">
        <v>188</v>
      </c>
      <c r="D83" t="s">
        <v>17</v>
      </c>
      <c r="E83">
        <v>2022</v>
      </c>
      <c r="F83">
        <v>490</v>
      </c>
      <c r="G83">
        <v>11</v>
      </c>
      <c r="I83" t="str">
        <v>Dreams of Tomorrow</v>
      </c>
      <c r="J83" t="str">
        <v>Harper Adams</v>
      </c>
      <c r="K83" t="str">
        <v>Science Fiction</v>
      </c>
      <c r="L83">
        <v>2022</v>
      </c>
      <c r="M83">
        <v>690</v>
      </c>
      <c r="N83">
        <v>7</v>
      </c>
    </row>
    <row r="84" spans="1:14" hidden="1" x14ac:dyDescent="0.3">
      <c r="A84">
        <v>63</v>
      </c>
      <c r="B84" t="s">
        <v>141</v>
      </c>
      <c r="C84" t="s">
        <v>142</v>
      </c>
      <c r="D84" t="s">
        <v>20</v>
      </c>
      <c r="E84">
        <v>2020</v>
      </c>
      <c r="F84">
        <v>540.20000000000005</v>
      </c>
      <c r="G84">
        <v>12</v>
      </c>
      <c r="I84" t="str">
        <v>Echoes of Tomorrow</v>
      </c>
      <c r="J84" t="str">
        <v>Liam Carter</v>
      </c>
      <c r="K84" t="str">
        <v>Science Fiction</v>
      </c>
      <c r="L84">
        <v>2020</v>
      </c>
      <c r="M84">
        <v>499.5</v>
      </c>
      <c r="N84">
        <v>9</v>
      </c>
    </row>
    <row r="85" spans="1:14" hidden="1" x14ac:dyDescent="0.3">
      <c r="A85">
        <v>34</v>
      </c>
      <c r="B85" t="s">
        <v>83</v>
      </c>
      <c r="C85" t="s">
        <v>84</v>
      </c>
      <c r="D85" t="s">
        <v>26</v>
      </c>
      <c r="E85">
        <v>2021</v>
      </c>
      <c r="F85">
        <v>590.5</v>
      </c>
      <c r="G85">
        <v>11</v>
      </c>
      <c r="I85" t="str">
        <v>Endless Sky</v>
      </c>
      <c r="J85" t="str">
        <v>Jacob Gray</v>
      </c>
      <c r="K85" t="str">
        <v>Science Fiction</v>
      </c>
      <c r="L85">
        <v>2020</v>
      </c>
      <c r="M85">
        <v>670</v>
      </c>
      <c r="N85">
        <v>7</v>
      </c>
    </row>
    <row r="86" spans="1:14" hidden="1" x14ac:dyDescent="0.3">
      <c r="A86">
        <v>1</v>
      </c>
      <c r="B86" t="s">
        <v>6</v>
      </c>
      <c r="C86" t="s">
        <v>7</v>
      </c>
      <c r="D86" t="s">
        <v>8</v>
      </c>
      <c r="E86">
        <v>2018</v>
      </c>
      <c r="F86">
        <v>399.99</v>
      </c>
      <c r="G86">
        <v>12</v>
      </c>
      <c r="I86" t="str">
        <v>Falling Skies</v>
      </c>
      <c r="J86" t="str">
        <v>Carter Wright</v>
      </c>
      <c r="K86" t="str">
        <v>Science Fiction</v>
      </c>
      <c r="L86">
        <v>2018</v>
      </c>
      <c r="M86">
        <v>570.9</v>
      </c>
      <c r="N86">
        <v>10</v>
      </c>
    </row>
    <row r="87" spans="1:14" hidden="1" x14ac:dyDescent="0.3">
      <c r="A87">
        <v>96</v>
      </c>
      <c r="B87" t="s">
        <v>205</v>
      </c>
      <c r="C87" t="s">
        <v>206</v>
      </c>
      <c r="D87" t="s">
        <v>31</v>
      </c>
      <c r="E87">
        <v>2019</v>
      </c>
      <c r="F87">
        <v>510</v>
      </c>
      <c r="G87">
        <v>15</v>
      </c>
      <c r="I87" t="str">
        <v>Ocean of Time</v>
      </c>
      <c r="J87" t="str">
        <v>Amelia Hill</v>
      </c>
      <c r="K87" t="str">
        <v>Science Fiction</v>
      </c>
      <c r="L87">
        <v>2021</v>
      </c>
      <c r="M87">
        <v>680.75</v>
      </c>
      <c r="N87">
        <v>6</v>
      </c>
    </row>
    <row r="88" spans="1:14" hidden="1" x14ac:dyDescent="0.3">
      <c r="A88">
        <v>78</v>
      </c>
      <c r="B88" t="s">
        <v>171</v>
      </c>
      <c r="C88" t="s">
        <v>88</v>
      </c>
      <c r="D88" t="s">
        <v>20</v>
      </c>
      <c r="E88">
        <v>2019</v>
      </c>
      <c r="F88">
        <v>530.25</v>
      </c>
      <c r="G88">
        <v>10</v>
      </c>
      <c r="I88" t="str">
        <v>Rise of the Machines</v>
      </c>
      <c r="J88" t="str">
        <v>Jacob Perry</v>
      </c>
      <c r="K88" t="str">
        <v>Science Fiction</v>
      </c>
      <c r="L88">
        <v>2020</v>
      </c>
      <c r="M88">
        <v>720</v>
      </c>
      <c r="N88">
        <v>8</v>
      </c>
    </row>
    <row r="89" spans="1:14" hidden="1" x14ac:dyDescent="0.3">
      <c r="A89">
        <v>12</v>
      </c>
      <c r="B89" t="s">
        <v>36</v>
      </c>
      <c r="C89" t="s">
        <v>37</v>
      </c>
      <c r="D89" t="s">
        <v>31</v>
      </c>
      <c r="E89">
        <v>2021</v>
      </c>
      <c r="F89">
        <v>499.99</v>
      </c>
      <c r="G89">
        <v>9</v>
      </c>
      <c r="I89" t="str">
        <v>Shattered Skies</v>
      </c>
      <c r="J89" t="str">
        <v>Benjamin Lewis</v>
      </c>
      <c r="K89" t="str">
        <v>Science Fiction</v>
      </c>
      <c r="L89">
        <v>2019</v>
      </c>
      <c r="M89">
        <v>670.1</v>
      </c>
      <c r="N89">
        <v>6</v>
      </c>
    </row>
    <row r="90" spans="1:14" hidden="1" x14ac:dyDescent="0.3">
      <c r="A90">
        <v>91</v>
      </c>
      <c r="B90" t="s">
        <v>196</v>
      </c>
      <c r="C90" t="s">
        <v>197</v>
      </c>
      <c r="D90" t="s">
        <v>8</v>
      </c>
      <c r="E90">
        <v>2020</v>
      </c>
      <c r="F90">
        <v>440.75</v>
      </c>
      <c r="G90">
        <v>16</v>
      </c>
      <c r="I90" t="str">
        <v>The Dark Sun</v>
      </c>
      <c r="J90" t="str">
        <v>Aiden Lewis</v>
      </c>
      <c r="K90" t="str">
        <v>Science Fiction</v>
      </c>
      <c r="L90">
        <v>2022</v>
      </c>
      <c r="M90">
        <v>700.25</v>
      </c>
      <c r="N90">
        <v>8</v>
      </c>
    </row>
    <row r="91" spans="1:14" hidden="1" x14ac:dyDescent="0.3">
      <c r="A91">
        <v>14</v>
      </c>
      <c r="B91" t="s">
        <v>40</v>
      </c>
      <c r="C91" t="s">
        <v>41</v>
      </c>
      <c r="D91" t="s">
        <v>14</v>
      </c>
      <c r="E91">
        <v>2014</v>
      </c>
      <c r="F91">
        <v>250.5</v>
      </c>
      <c r="G91">
        <v>30</v>
      </c>
      <c r="I91" t="str">
        <v>The Final Dawn</v>
      </c>
      <c r="J91" t="str">
        <v>Olivia Scott</v>
      </c>
      <c r="K91" t="str">
        <v>Science Fiction</v>
      </c>
      <c r="L91">
        <v>2019</v>
      </c>
      <c r="M91">
        <v>680</v>
      </c>
      <c r="N91">
        <v>7</v>
      </c>
    </row>
    <row r="92" spans="1:14" hidden="1" x14ac:dyDescent="0.3">
      <c r="A92">
        <v>53</v>
      </c>
      <c r="B92" t="s">
        <v>121</v>
      </c>
      <c r="C92" t="s">
        <v>122</v>
      </c>
      <c r="D92" t="s">
        <v>20</v>
      </c>
      <c r="E92">
        <v>2020</v>
      </c>
      <c r="F92">
        <v>460.5</v>
      </c>
      <c r="G92">
        <v>12</v>
      </c>
      <c r="I92" t="str">
        <v>The Infinite Circle</v>
      </c>
      <c r="J92" t="str">
        <v>Ethan Howard</v>
      </c>
      <c r="K92" t="str">
        <v>Science Fiction</v>
      </c>
      <c r="L92">
        <v>2020</v>
      </c>
      <c r="M92">
        <v>640</v>
      </c>
      <c r="N92">
        <v>7</v>
      </c>
    </row>
    <row r="93" spans="1:14" hidden="1" x14ac:dyDescent="0.3">
      <c r="A93">
        <v>30</v>
      </c>
      <c r="B93" t="s">
        <v>75</v>
      </c>
      <c r="C93" t="s">
        <v>76</v>
      </c>
      <c r="D93" t="s">
        <v>17</v>
      </c>
      <c r="E93">
        <v>2016</v>
      </c>
      <c r="F93">
        <v>460.25</v>
      </c>
      <c r="G93">
        <v>13</v>
      </c>
      <c r="I93" t="str">
        <v>The Quantum Paradox</v>
      </c>
      <c r="J93" t="str">
        <v>Jack Richardson</v>
      </c>
      <c r="K93" t="str">
        <v>Science Fiction</v>
      </c>
      <c r="L93">
        <v>2021</v>
      </c>
      <c r="M93">
        <v>650.75</v>
      </c>
      <c r="N93">
        <v>5</v>
      </c>
    </row>
    <row r="94" spans="1:14" hidden="1" x14ac:dyDescent="0.3">
      <c r="A94">
        <v>13</v>
      </c>
      <c r="B94" t="s">
        <v>38</v>
      </c>
      <c r="C94" t="s">
        <v>39</v>
      </c>
      <c r="D94" t="s">
        <v>11</v>
      </c>
      <c r="E94">
        <v>2019</v>
      </c>
      <c r="F94">
        <v>420.3</v>
      </c>
      <c r="G94">
        <v>16</v>
      </c>
      <c r="I94" t="str">
        <v>Through the Last Gate</v>
      </c>
      <c r="J94" t="str">
        <v>Benjamin Price</v>
      </c>
      <c r="K94" t="str">
        <v>Science Fiction</v>
      </c>
      <c r="L94">
        <v>2019</v>
      </c>
      <c r="M94">
        <v>420.3</v>
      </c>
      <c r="N94">
        <v>16</v>
      </c>
    </row>
    <row r="95" spans="1:14" hidden="1" x14ac:dyDescent="0.3">
      <c r="A95">
        <v>21</v>
      </c>
      <c r="B95" t="s">
        <v>55</v>
      </c>
      <c r="C95" t="s">
        <v>56</v>
      </c>
      <c r="D95" t="s">
        <v>31</v>
      </c>
      <c r="E95">
        <v>2020</v>
      </c>
      <c r="F95">
        <v>470.2</v>
      </c>
      <c r="G95">
        <v>7</v>
      </c>
      <c r="I95" t="str">
        <v>The Clockwork Heart</v>
      </c>
      <c r="J95" t="str">
        <v>Amelia Adams</v>
      </c>
      <c r="K95" t="str">
        <v>Steampunk</v>
      </c>
      <c r="L95">
        <v>2021</v>
      </c>
      <c r="M95">
        <v>610</v>
      </c>
      <c r="N95">
        <v>8</v>
      </c>
    </row>
    <row r="96" spans="1:14" hidden="1" x14ac:dyDescent="0.3">
      <c r="A96">
        <v>81</v>
      </c>
      <c r="B96" t="s">
        <v>177</v>
      </c>
      <c r="C96" t="s">
        <v>178</v>
      </c>
      <c r="D96" t="s">
        <v>17</v>
      </c>
      <c r="E96">
        <v>2018</v>
      </c>
      <c r="F96">
        <v>470.25</v>
      </c>
      <c r="G96">
        <v>14</v>
      </c>
      <c r="I96" t="str">
        <v>Beneath the Ice</v>
      </c>
      <c r="J96" t="str">
        <v>Scarlett Ward</v>
      </c>
      <c r="K96" t="str">
        <v>Thriller</v>
      </c>
      <c r="L96">
        <v>2018</v>
      </c>
      <c r="M96">
        <v>410.9</v>
      </c>
      <c r="N96">
        <v>13</v>
      </c>
    </row>
    <row r="97" spans="1:14" hidden="1" x14ac:dyDescent="0.3">
      <c r="A97">
        <v>65</v>
      </c>
      <c r="B97" t="s">
        <v>145</v>
      </c>
      <c r="C97" t="s">
        <v>146</v>
      </c>
      <c r="D97" t="s">
        <v>17</v>
      </c>
      <c r="E97">
        <v>2018</v>
      </c>
      <c r="F97">
        <v>480.25</v>
      </c>
      <c r="G97">
        <v>13</v>
      </c>
      <c r="I97" t="str">
        <v>Crimson Winter</v>
      </c>
      <c r="J97" t="str">
        <v>Noah Scott</v>
      </c>
      <c r="K97" t="str">
        <v>Thriller</v>
      </c>
      <c r="L97">
        <v>2021</v>
      </c>
      <c r="M97">
        <v>610.5</v>
      </c>
      <c r="N97">
        <v>8</v>
      </c>
    </row>
    <row r="98" spans="1:14" hidden="1" x14ac:dyDescent="0.3">
      <c r="A98">
        <v>20</v>
      </c>
      <c r="B98" t="s">
        <v>52</v>
      </c>
      <c r="C98" t="s">
        <v>53</v>
      </c>
      <c r="D98" t="s">
        <v>54</v>
      </c>
      <c r="E98">
        <v>2018</v>
      </c>
      <c r="F98">
        <v>390</v>
      </c>
      <c r="G98">
        <v>12</v>
      </c>
      <c r="I98" t="str">
        <v>Dark Waters</v>
      </c>
      <c r="J98" t="str">
        <v>Emma Scott</v>
      </c>
      <c r="K98" t="str">
        <v>Thriller</v>
      </c>
      <c r="L98">
        <v>2018</v>
      </c>
      <c r="M98">
        <v>380.75</v>
      </c>
      <c r="N98">
        <v>10</v>
      </c>
    </row>
    <row r="99" spans="1:14" hidden="1" x14ac:dyDescent="0.3">
      <c r="A99">
        <v>55</v>
      </c>
      <c r="B99" t="s">
        <v>125</v>
      </c>
      <c r="C99" t="s">
        <v>126</v>
      </c>
      <c r="D99" t="s">
        <v>54</v>
      </c>
      <c r="E99">
        <v>2019</v>
      </c>
      <c r="F99">
        <v>410.1</v>
      </c>
      <c r="G99">
        <v>16</v>
      </c>
      <c r="I99" t="str">
        <v>Edge of Nowhere</v>
      </c>
      <c r="J99" t="str">
        <v>Ella Mitchell</v>
      </c>
      <c r="K99" t="str">
        <v>Thriller</v>
      </c>
      <c r="L99">
        <v>2017</v>
      </c>
      <c r="M99">
        <v>380.9</v>
      </c>
      <c r="N99">
        <v>19</v>
      </c>
    </row>
    <row r="100" spans="1:14" hidden="1" x14ac:dyDescent="0.3">
      <c r="A100">
        <v>40</v>
      </c>
      <c r="B100" t="s">
        <v>95</v>
      </c>
      <c r="C100" t="s">
        <v>96</v>
      </c>
      <c r="D100" t="s">
        <v>14</v>
      </c>
      <c r="E100">
        <v>2018</v>
      </c>
      <c r="F100">
        <v>290</v>
      </c>
      <c r="G100">
        <v>23</v>
      </c>
      <c r="I100" t="str">
        <v>Firestorm</v>
      </c>
      <c r="J100" t="str">
        <v>Daniel Collins</v>
      </c>
      <c r="K100" t="str">
        <v>Thriller</v>
      </c>
      <c r="L100">
        <v>2020</v>
      </c>
      <c r="M100">
        <v>550.9</v>
      </c>
      <c r="N100">
        <v>9</v>
      </c>
    </row>
    <row r="101" spans="1:14" hidden="1" x14ac:dyDescent="0.3">
      <c r="A101">
        <v>82</v>
      </c>
      <c r="B101" t="s">
        <v>179</v>
      </c>
      <c r="C101" t="s">
        <v>180</v>
      </c>
      <c r="D101" t="s">
        <v>26</v>
      </c>
      <c r="E101">
        <v>2019</v>
      </c>
      <c r="F101">
        <v>400</v>
      </c>
      <c r="G101">
        <v>12</v>
      </c>
      <c r="I101" t="str">
        <v>The Darkened Path</v>
      </c>
      <c r="J101" t="str">
        <v>Ella Mitchell</v>
      </c>
      <c r="K101" t="str">
        <v>Thriller</v>
      </c>
      <c r="L101">
        <v>2021</v>
      </c>
      <c r="M101">
        <v>610.4</v>
      </c>
      <c r="N101">
        <v>10</v>
      </c>
    </row>
    <row r="102" spans="1:14" hidden="1" x14ac:dyDescent="0.3">
      <c r="A102">
        <v>3</v>
      </c>
      <c r="B102" t="s">
        <v>12</v>
      </c>
      <c r="C102" t="s">
        <v>13</v>
      </c>
      <c r="D102" t="s">
        <v>14</v>
      </c>
      <c r="E102">
        <v>2016</v>
      </c>
      <c r="F102">
        <v>299</v>
      </c>
      <c r="G102">
        <v>20</v>
      </c>
      <c r="I102" t="str">
        <v>The Edge of Shadows</v>
      </c>
      <c r="J102" t="str">
        <v>Mila Ross</v>
      </c>
      <c r="K102" t="str">
        <v>Thriller</v>
      </c>
      <c r="L102">
        <v>2022</v>
      </c>
      <c r="M102">
        <v>610.5</v>
      </c>
      <c r="N102">
        <v>7</v>
      </c>
    </row>
    <row r="103" spans="1:14" hidden="1" x14ac:dyDescent="0.3">
      <c r="A103">
        <v>43</v>
      </c>
      <c r="B103" t="s">
        <v>101</v>
      </c>
      <c r="C103" t="s">
        <v>102</v>
      </c>
      <c r="D103" t="s">
        <v>20</v>
      </c>
      <c r="E103">
        <v>2022</v>
      </c>
      <c r="F103">
        <v>590.25</v>
      </c>
      <c r="G103">
        <v>8</v>
      </c>
      <c r="I103" t="str">
        <v>The Glass Tower</v>
      </c>
      <c r="J103" t="str">
        <v>Avery Kelly</v>
      </c>
      <c r="K103" t="str">
        <v>Thriller</v>
      </c>
      <c r="L103">
        <v>2017</v>
      </c>
      <c r="M103">
        <v>360.9</v>
      </c>
      <c r="N103">
        <v>17</v>
      </c>
    </row>
    <row r="104" spans="1:14" hidden="1" x14ac:dyDescent="0.3">
      <c r="A104">
        <v>48</v>
      </c>
      <c r="B104" t="s">
        <v>111</v>
      </c>
      <c r="C104" t="s">
        <v>112</v>
      </c>
      <c r="D104" t="s">
        <v>17</v>
      </c>
      <c r="E104">
        <v>2018</v>
      </c>
      <c r="F104">
        <v>490.2</v>
      </c>
      <c r="G104">
        <v>13</v>
      </c>
      <c r="I104" t="str">
        <v>The Iron Code</v>
      </c>
      <c r="J104" t="str">
        <v>Olivia Cooper</v>
      </c>
      <c r="K104" t="str">
        <v>Thriller</v>
      </c>
      <c r="L104">
        <v>2022</v>
      </c>
      <c r="M104">
        <v>610</v>
      </c>
      <c r="N104">
        <v>7</v>
      </c>
    </row>
    <row r="105" spans="1:14" hidden="1" x14ac:dyDescent="0.3">
      <c r="A105">
        <v>90</v>
      </c>
      <c r="B105" t="s">
        <v>194</v>
      </c>
      <c r="C105" t="s">
        <v>195</v>
      </c>
      <c r="D105" t="s">
        <v>20</v>
      </c>
      <c r="E105">
        <v>2019</v>
      </c>
      <c r="F105">
        <v>520</v>
      </c>
      <c r="G105">
        <v>12</v>
      </c>
      <c r="I105" t="str">
        <v>The Silent Guardian</v>
      </c>
      <c r="J105" t="str">
        <v>Chloe Phillips</v>
      </c>
      <c r="K105" t="str">
        <v>Thriller</v>
      </c>
      <c r="L105">
        <v>2021</v>
      </c>
      <c r="M105">
        <v>590.5</v>
      </c>
      <c r="N105">
        <v>11</v>
      </c>
    </row>
    <row r="106" spans="1:14" hidden="1" x14ac:dyDescent="0.3">
      <c r="A106">
        <v>8</v>
      </c>
      <c r="B106" t="s">
        <v>27</v>
      </c>
      <c r="C106" t="s">
        <v>28</v>
      </c>
      <c r="D106" t="s">
        <v>20</v>
      </c>
      <c r="E106">
        <v>2017</v>
      </c>
      <c r="F106">
        <v>470.1</v>
      </c>
      <c r="G106">
        <v>18</v>
      </c>
      <c r="I106" t="str">
        <v>Whispering Shadows</v>
      </c>
      <c r="J106" t="str">
        <v>Avery Lewis</v>
      </c>
      <c r="K106" t="str">
        <v>Thriller</v>
      </c>
      <c r="L106">
        <v>2019</v>
      </c>
      <c r="M106">
        <v>400</v>
      </c>
      <c r="N106">
        <v>12</v>
      </c>
    </row>
    <row r="108" spans="1:14" x14ac:dyDescent="0.3">
      <c r="C108" s="5" t="s">
        <v>227</v>
      </c>
      <c r="D108" s="5"/>
    </row>
    <row r="110" spans="1:14" x14ac:dyDescent="0.3">
      <c r="A110" s="1" t="s">
        <v>0</v>
      </c>
      <c r="B110" s="2" t="s">
        <v>1</v>
      </c>
      <c r="C110" s="2" t="s">
        <v>2</v>
      </c>
      <c r="D110" s="2" t="s">
        <v>3</v>
      </c>
      <c r="E110" s="2" t="s">
        <v>4</v>
      </c>
      <c r="F110" s="2" t="s">
        <v>5</v>
      </c>
      <c r="G110" s="3" t="s">
        <v>224</v>
      </c>
    </row>
    <row r="111" spans="1:14" x14ac:dyDescent="0.3">
      <c r="A111" cm="1">
        <f t="array" ref="A111:G215">_xlfn._xlws.SORT(BOOKS_RECORDS3[],5,1,)</f>
        <v>14</v>
      </c>
      <c r="B111" t="str">
        <v>The Violet Garden</v>
      </c>
      <c r="C111" t="str">
        <v>Amelia Green</v>
      </c>
      <c r="D111" t="str">
        <v>Romance</v>
      </c>
      <c r="E111">
        <v>2014</v>
      </c>
      <c r="F111">
        <v>250.5</v>
      </c>
      <c r="G111">
        <v>30</v>
      </c>
    </row>
    <row r="112" spans="1:14" x14ac:dyDescent="0.3">
      <c r="A112">
        <v>6</v>
      </c>
      <c r="B112" t="str">
        <v>Fragments of Light</v>
      </c>
      <c r="C112" t="str">
        <v>Ethan Hughes</v>
      </c>
      <c r="D112" t="str">
        <v>Drama</v>
      </c>
      <c r="E112">
        <v>2015</v>
      </c>
      <c r="F112">
        <v>280.39999999999998</v>
      </c>
      <c r="G112">
        <v>8</v>
      </c>
    </row>
    <row r="113" spans="1:7" x14ac:dyDescent="0.3">
      <c r="A113">
        <v>27</v>
      </c>
      <c r="B113" t="str">
        <v>House of Secrets</v>
      </c>
      <c r="C113" t="str">
        <v>Matthew Reed</v>
      </c>
      <c r="D113" t="str">
        <v>Mystery</v>
      </c>
      <c r="E113">
        <v>2015</v>
      </c>
      <c r="F113">
        <v>340</v>
      </c>
      <c r="G113">
        <v>20</v>
      </c>
    </row>
    <row r="114" spans="1:7" x14ac:dyDescent="0.3">
      <c r="A114">
        <v>18</v>
      </c>
      <c r="B114" t="str">
        <v>Ashes of the Empire</v>
      </c>
      <c r="C114" t="str">
        <v>Harper Scott</v>
      </c>
      <c r="D114" t="str">
        <v>Historical Fiction</v>
      </c>
      <c r="E114">
        <v>2016</v>
      </c>
      <c r="F114">
        <v>450</v>
      </c>
      <c r="G114">
        <v>14</v>
      </c>
    </row>
    <row r="115" spans="1:7" x14ac:dyDescent="0.3">
      <c r="A115">
        <v>38</v>
      </c>
      <c r="B115" t="str">
        <v>The Haunting of Willow Lake</v>
      </c>
      <c r="C115" t="str">
        <v>Layla Rogers</v>
      </c>
      <c r="D115" t="str">
        <v>Horror</v>
      </c>
      <c r="E115">
        <v>2016</v>
      </c>
      <c r="F115">
        <v>400</v>
      </c>
      <c r="G115">
        <v>8</v>
      </c>
    </row>
    <row r="116" spans="1:7" x14ac:dyDescent="0.3">
      <c r="A116">
        <v>72</v>
      </c>
      <c r="B116" t="str">
        <v>The Hollow Crown</v>
      </c>
      <c r="C116" t="str">
        <v>Henry Bennett</v>
      </c>
      <c r="D116" t="str">
        <v>Historical Fiction</v>
      </c>
      <c r="E116">
        <v>2016</v>
      </c>
      <c r="F116">
        <v>460.25</v>
      </c>
      <c r="G116">
        <v>15</v>
      </c>
    </row>
    <row r="117" spans="1:7" x14ac:dyDescent="0.3">
      <c r="A117">
        <v>49</v>
      </c>
      <c r="B117" t="str">
        <v>The Night Circus</v>
      </c>
      <c r="C117" t="str">
        <v>Arthur Hayes</v>
      </c>
      <c r="D117" t="str">
        <v>Fantasy</v>
      </c>
      <c r="E117">
        <v>2016</v>
      </c>
      <c r="F117">
        <v>440</v>
      </c>
      <c r="G117">
        <v>19</v>
      </c>
    </row>
    <row r="118" spans="1:7" x14ac:dyDescent="0.3">
      <c r="A118">
        <v>30</v>
      </c>
      <c r="B118" t="str">
        <v>The Winter’s Crown</v>
      </c>
      <c r="C118" t="str">
        <v>Victoria Hall</v>
      </c>
      <c r="D118" t="str">
        <v>Historical Fiction</v>
      </c>
      <c r="E118">
        <v>2016</v>
      </c>
      <c r="F118">
        <v>460.25</v>
      </c>
      <c r="G118">
        <v>13</v>
      </c>
    </row>
    <row r="119" spans="1:7" x14ac:dyDescent="0.3">
      <c r="A119">
        <v>3</v>
      </c>
      <c r="B119" t="str">
        <v>Whispers in the Wind</v>
      </c>
      <c r="C119" t="str">
        <v>Sophia Bennett</v>
      </c>
      <c r="D119" t="str">
        <v>Romance</v>
      </c>
      <c r="E119">
        <v>2016</v>
      </c>
      <c r="F119">
        <v>299</v>
      </c>
      <c r="G119">
        <v>20</v>
      </c>
    </row>
    <row r="120" spans="1:7" x14ac:dyDescent="0.3">
      <c r="A120">
        <v>75</v>
      </c>
      <c r="B120" t="str">
        <v>A Song of Fireflies</v>
      </c>
      <c r="C120" t="str">
        <v>Grace Hughes</v>
      </c>
      <c r="D120" t="str">
        <v>Romance</v>
      </c>
      <c r="E120">
        <v>2017</v>
      </c>
      <c r="F120">
        <v>310</v>
      </c>
      <c r="G120">
        <v>19</v>
      </c>
    </row>
    <row r="121" spans="1:7" x14ac:dyDescent="0.3">
      <c r="A121">
        <v>16</v>
      </c>
      <c r="B121" t="str">
        <v>Edge of Nowhere</v>
      </c>
      <c r="C121" t="str">
        <v>Ella Mitchell</v>
      </c>
      <c r="D121" t="str">
        <v>Thriller</v>
      </c>
      <c r="E121">
        <v>2017</v>
      </c>
      <c r="F121">
        <v>380.9</v>
      </c>
      <c r="G121">
        <v>19</v>
      </c>
    </row>
    <row r="122" spans="1:7" x14ac:dyDescent="0.3">
      <c r="A122">
        <v>25</v>
      </c>
      <c r="B122" t="str">
        <v>Fires of Redemption</v>
      </c>
      <c r="C122" t="str">
        <v>Daniel Perry</v>
      </c>
      <c r="D122" t="str">
        <v>Drama</v>
      </c>
      <c r="E122">
        <v>2017</v>
      </c>
      <c r="F122">
        <v>360</v>
      </c>
      <c r="G122">
        <v>18</v>
      </c>
    </row>
    <row r="123" spans="1:7" x14ac:dyDescent="0.3">
      <c r="A123">
        <v>35</v>
      </c>
      <c r="B123" t="str">
        <v>River of Dreams</v>
      </c>
      <c r="C123" t="str">
        <v>Aiden Morris</v>
      </c>
      <c r="D123" t="str">
        <v>Romance</v>
      </c>
      <c r="E123">
        <v>2017</v>
      </c>
      <c r="F123">
        <v>330.75</v>
      </c>
      <c r="G123">
        <v>19</v>
      </c>
    </row>
    <row r="124" spans="1:7" x14ac:dyDescent="0.3">
      <c r="A124">
        <v>67</v>
      </c>
      <c r="B124" t="str">
        <v>The Emerald Flame</v>
      </c>
      <c r="C124" t="str">
        <v>Isabella Turner</v>
      </c>
      <c r="D124" t="str">
        <v>Fantasy</v>
      </c>
      <c r="E124">
        <v>2017</v>
      </c>
      <c r="F124">
        <v>450.9</v>
      </c>
      <c r="G124">
        <v>18</v>
      </c>
    </row>
    <row r="125" spans="1:7" x14ac:dyDescent="0.3">
      <c r="A125">
        <v>44</v>
      </c>
      <c r="B125" t="str">
        <v>The Glass Tower</v>
      </c>
      <c r="C125" t="str">
        <v>Avery Kelly</v>
      </c>
      <c r="D125" t="str">
        <v>Thriller</v>
      </c>
      <c r="E125">
        <v>2017</v>
      </c>
      <c r="F125">
        <v>360.9</v>
      </c>
      <c r="G125">
        <v>17</v>
      </c>
    </row>
    <row r="126" spans="1:7" x14ac:dyDescent="0.3">
      <c r="A126">
        <v>57</v>
      </c>
      <c r="B126" t="str">
        <v>The Hidden Fortress</v>
      </c>
      <c r="C126" t="str">
        <v>Mason Bennett</v>
      </c>
      <c r="D126" t="str">
        <v>Adventure</v>
      </c>
      <c r="E126">
        <v>2017</v>
      </c>
      <c r="F126">
        <v>470.6</v>
      </c>
      <c r="G126">
        <v>18</v>
      </c>
    </row>
    <row r="127" spans="1:7" x14ac:dyDescent="0.3">
      <c r="A127">
        <v>94</v>
      </c>
      <c r="B127" t="str">
        <v>The Lost Horizon</v>
      </c>
      <c r="C127" t="str">
        <v>Sophia Green</v>
      </c>
      <c r="D127" t="str">
        <v>Fantasy</v>
      </c>
      <c r="E127">
        <v>2017</v>
      </c>
      <c r="F127">
        <v>530.1</v>
      </c>
      <c r="G127">
        <v>13</v>
      </c>
    </row>
    <row r="128" spans="1:7" x14ac:dyDescent="0.3">
      <c r="A128">
        <v>8</v>
      </c>
      <c r="B128" t="str">
        <v>Wings of Glass</v>
      </c>
      <c r="C128" t="str">
        <v>Isabella Reed</v>
      </c>
      <c r="D128" t="str">
        <v>Fantasy</v>
      </c>
      <c r="E128">
        <v>2017</v>
      </c>
      <c r="F128">
        <v>470.1</v>
      </c>
      <c r="G128">
        <v>18</v>
      </c>
    </row>
    <row r="129" spans="1:7" x14ac:dyDescent="0.3">
      <c r="A129">
        <v>24</v>
      </c>
      <c r="B129" t="str">
        <v>Beneath the Ice</v>
      </c>
      <c r="C129" t="str">
        <v>Scarlett Ward</v>
      </c>
      <c r="D129" t="str">
        <v>Thriller</v>
      </c>
      <c r="E129">
        <v>2018</v>
      </c>
      <c r="F129">
        <v>410.9</v>
      </c>
      <c r="G129">
        <v>13</v>
      </c>
    </row>
    <row r="130" spans="1:7" x14ac:dyDescent="0.3">
      <c r="A130">
        <v>61</v>
      </c>
      <c r="B130" t="str">
        <v>Beneath the Moon</v>
      </c>
      <c r="C130" t="str">
        <v>Liam Thompson</v>
      </c>
      <c r="D130" t="str">
        <v>Romance</v>
      </c>
      <c r="E130">
        <v>2018</v>
      </c>
      <c r="F130">
        <v>290</v>
      </c>
      <c r="G130">
        <v>25</v>
      </c>
    </row>
    <row r="131" spans="1:7" x14ac:dyDescent="0.3">
      <c r="A131">
        <v>10</v>
      </c>
      <c r="B131" t="str">
        <v>Chronicles of Dawn</v>
      </c>
      <c r="C131" t="str">
        <v>Charlotte Evans</v>
      </c>
      <c r="D131" t="str">
        <v>Fantasy</v>
      </c>
      <c r="E131">
        <v>2018</v>
      </c>
      <c r="F131">
        <v>320.75</v>
      </c>
      <c r="G131">
        <v>25</v>
      </c>
    </row>
    <row r="132" spans="1:7" x14ac:dyDescent="0.3">
      <c r="A132">
        <v>73</v>
      </c>
      <c r="B132" t="str">
        <v>Dark Waters</v>
      </c>
      <c r="C132" t="str">
        <v>Emma Scott</v>
      </c>
      <c r="D132" t="str">
        <v>Thriller</v>
      </c>
      <c r="E132">
        <v>2018</v>
      </c>
      <c r="F132">
        <v>380.75</v>
      </c>
      <c r="G132">
        <v>10</v>
      </c>
    </row>
    <row r="133" spans="1:7" x14ac:dyDescent="0.3">
      <c r="A133">
        <v>87</v>
      </c>
      <c r="B133" t="str">
        <v>Dawn of the Phoenix</v>
      </c>
      <c r="C133" t="str">
        <v>Chloe Ward</v>
      </c>
      <c r="D133" t="str">
        <v>Fantasy</v>
      </c>
      <c r="E133">
        <v>2018</v>
      </c>
      <c r="F133">
        <v>560.75</v>
      </c>
      <c r="G133">
        <v>9</v>
      </c>
    </row>
    <row r="134" spans="1:7" x14ac:dyDescent="0.3">
      <c r="A134">
        <v>51</v>
      </c>
      <c r="B134" t="str">
        <v>Falling Skies</v>
      </c>
      <c r="C134" t="str">
        <v>Carter Wright</v>
      </c>
      <c r="D134" t="str">
        <v>Science Fiction</v>
      </c>
      <c r="E134">
        <v>2018</v>
      </c>
      <c r="F134">
        <v>570.9</v>
      </c>
      <c r="G134">
        <v>10</v>
      </c>
    </row>
    <row r="135" spans="1:7" x14ac:dyDescent="0.3">
      <c r="A135">
        <v>36</v>
      </c>
      <c r="B135" t="str">
        <v>The Broken Spell</v>
      </c>
      <c r="C135" t="str">
        <v>Sofia Jenkins</v>
      </c>
      <c r="D135" t="str">
        <v>Fantasy</v>
      </c>
      <c r="E135">
        <v>2018</v>
      </c>
      <c r="F135">
        <v>470.1</v>
      </c>
      <c r="G135">
        <v>14</v>
      </c>
    </row>
    <row r="136" spans="1:7" x14ac:dyDescent="0.3">
      <c r="A136">
        <v>77</v>
      </c>
      <c r="B136" t="str">
        <v>The Burning Sky</v>
      </c>
      <c r="C136" t="str">
        <v>Mason Ross</v>
      </c>
      <c r="D136" t="str">
        <v>Adventure</v>
      </c>
      <c r="E136">
        <v>2018</v>
      </c>
      <c r="F136">
        <v>480.5</v>
      </c>
      <c r="G136">
        <v>16</v>
      </c>
    </row>
    <row r="137" spans="1:7" x14ac:dyDescent="0.3">
      <c r="A137">
        <v>95</v>
      </c>
      <c r="B137" t="str">
        <v>The Iron Throne</v>
      </c>
      <c r="C137" t="str">
        <v>Noah Brooks</v>
      </c>
      <c r="D137" t="str">
        <v>Historical Fiction</v>
      </c>
      <c r="E137">
        <v>2018</v>
      </c>
      <c r="F137">
        <v>480.25</v>
      </c>
      <c r="G137">
        <v>9</v>
      </c>
    </row>
    <row r="138" spans="1:7" x14ac:dyDescent="0.3">
      <c r="A138">
        <v>31</v>
      </c>
      <c r="B138" t="str">
        <v>The Lost City</v>
      </c>
      <c r="C138" t="str">
        <v>Samuel Harris</v>
      </c>
      <c r="D138" t="str">
        <v>Adventure</v>
      </c>
      <c r="E138">
        <v>2018</v>
      </c>
      <c r="F138">
        <v>480.6</v>
      </c>
      <c r="G138">
        <v>17</v>
      </c>
    </row>
    <row r="139" spans="1:7" x14ac:dyDescent="0.3">
      <c r="A139">
        <v>100</v>
      </c>
      <c r="B139" t="str">
        <v>The Lost Empire</v>
      </c>
      <c r="C139" t="str">
        <v>Liam Allen</v>
      </c>
      <c r="D139" t="str">
        <v>Adventure</v>
      </c>
      <c r="E139">
        <v>2018</v>
      </c>
      <c r="F139">
        <v>490.25</v>
      </c>
      <c r="G139">
        <v>14</v>
      </c>
    </row>
    <row r="140" spans="1:7" x14ac:dyDescent="0.3">
      <c r="A140">
        <v>1</v>
      </c>
      <c r="B140" t="str">
        <v>The Silent River</v>
      </c>
      <c r="C140" t="str">
        <v>Ava Thompson</v>
      </c>
      <c r="D140" t="str">
        <v>Mystery</v>
      </c>
      <c r="E140">
        <v>2018</v>
      </c>
      <c r="F140">
        <v>399.99</v>
      </c>
      <c r="G140">
        <v>12</v>
      </c>
    </row>
    <row r="141" spans="1:7" x14ac:dyDescent="0.3">
      <c r="A141">
        <v>81</v>
      </c>
      <c r="B141" t="str">
        <v>Under the Midnight Sun</v>
      </c>
      <c r="C141" t="str">
        <v>Michael Brown</v>
      </c>
      <c r="D141" t="str">
        <v>Historical Fiction</v>
      </c>
      <c r="E141">
        <v>2018</v>
      </c>
      <c r="F141">
        <v>470.25</v>
      </c>
      <c r="G141">
        <v>14</v>
      </c>
    </row>
    <row r="142" spans="1:7" x14ac:dyDescent="0.3">
      <c r="A142">
        <v>65</v>
      </c>
      <c r="B142" t="str">
        <v>Under the Scarlet Sky</v>
      </c>
      <c r="C142" t="str">
        <v>Mia Walker</v>
      </c>
      <c r="D142" t="str">
        <v>Historical Fiction</v>
      </c>
      <c r="E142">
        <v>2018</v>
      </c>
      <c r="F142">
        <v>480.25</v>
      </c>
      <c r="G142">
        <v>13</v>
      </c>
    </row>
    <row r="143" spans="1:7" x14ac:dyDescent="0.3">
      <c r="A143">
        <v>20</v>
      </c>
      <c r="B143" t="str">
        <v>Voices from the Deep</v>
      </c>
      <c r="C143" t="str">
        <v>Evelyn James</v>
      </c>
      <c r="D143" t="str">
        <v>Horror</v>
      </c>
      <c r="E143">
        <v>2018</v>
      </c>
      <c r="F143">
        <v>390</v>
      </c>
      <c r="G143">
        <v>12</v>
      </c>
    </row>
    <row r="144" spans="1:7" x14ac:dyDescent="0.3">
      <c r="A144">
        <v>40</v>
      </c>
      <c r="B144" t="str">
        <v>When the Stars Fade</v>
      </c>
      <c r="C144" t="str">
        <v>Natalie Allen</v>
      </c>
      <c r="D144" t="str">
        <v>Romance</v>
      </c>
      <c r="E144">
        <v>2018</v>
      </c>
      <c r="F144">
        <v>290</v>
      </c>
      <c r="G144">
        <v>23</v>
      </c>
    </row>
    <row r="145" spans="1:7" x14ac:dyDescent="0.3">
      <c r="A145">
        <v>48</v>
      </c>
      <c r="B145" t="str">
        <v>Winds of the West</v>
      </c>
      <c r="C145" t="str">
        <v>Grace Adams</v>
      </c>
      <c r="D145" t="str">
        <v>Historical Fiction</v>
      </c>
      <c r="E145">
        <v>2018</v>
      </c>
      <c r="F145">
        <v>490.2</v>
      </c>
      <c r="G145">
        <v>13</v>
      </c>
    </row>
    <row r="146" spans="1:7" x14ac:dyDescent="0.3">
      <c r="A146">
        <v>22</v>
      </c>
      <c r="B146" t="str">
        <v>A Winter’s Promise</v>
      </c>
      <c r="C146" t="str">
        <v>Grace Collins</v>
      </c>
      <c r="D146" t="str">
        <v>Romance</v>
      </c>
      <c r="E146">
        <v>2019</v>
      </c>
      <c r="F146">
        <v>320</v>
      </c>
      <c r="G146">
        <v>22</v>
      </c>
    </row>
    <row r="147" spans="1:7" x14ac:dyDescent="0.3">
      <c r="A147">
        <v>85</v>
      </c>
      <c r="B147" t="str">
        <v>Ashes and Embers</v>
      </c>
      <c r="C147" t="str">
        <v>Lily Thompson</v>
      </c>
      <c r="D147" t="str">
        <v>Drama</v>
      </c>
      <c r="E147">
        <v>2019</v>
      </c>
      <c r="F147">
        <v>320.25</v>
      </c>
      <c r="G147">
        <v>17</v>
      </c>
    </row>
    <row r="148" spans="1:7" x14ac:dyDescent="0.3">
      <c r="A148">
        <v>4</v>
      </c>
      <c r="B148" t="str">
        <v>Beneath the Crimson Sky</v>
      </c>
      <c r="C148" t="str">
        <v>Noah Brooks</v>
      </c>
      <c r="D148" t="str">
        <v>Historical Fiction</v>
      </c>
      <c r="E148">
        <v>2019</v>
      </c>
      <c r="F148">
        <v>450.25</v>
      </c>
      <c r="G148">
        <v>14</v>
      </c>
    </row>
    <row r="149" spans="1:7" x14ac:dyDescent="0.3">
      <c r="A149">
        <v>37</v>
      </c>
      <c r="B149" t="str">
        <v>Cursed by Fire</v>
      </c>
      <c r="C149" t="str">
        <v>Jacob Carter</v>
      </c>
      <c r="D149" t="str">
        <v>Fantasy</v>
      </c>
      <c r="E149">
        <v>2019</v>
      </c>
      <c r="F149">
        <v>530.20000000000005</v>
      </c>
      <c r="G149">
        <v>10</v>
      </c>
    </row>
    <row r="150" spans="1:7" x14ac:dyDescent="0.3">
      <c r="A150">
        <v>41</v>
      </c>
      <c r="B150" t="str">
        <v>Darkness Rising</v>
      </c>
      <c r="C150" t="str">
        <v>Isaac Turner</v>
      </c>
      <c r="D150" t="str">
        <v>Horror</v>
      </c>
      <c r="E150">
        <v>2019</v>
      </c>
      <c r="F150">
        <v>520.75</v>
      </c>
      <c r="G150">
        <v>9</v>
      </c>
    </row>
    <row r="151" spans="1:7" x14ac:dyDescent="0.3">
      <c r="A151">
        <v>19</v>
      </c>
      <c r="B151" t="str">
        <v>Dreamcatcher’s Oath</v>
      </c>
      <c r="C151" t="str">
        <v>Henry Morgan</v>
      </c>
      <c r="D151" t="str">
        <v>Fantasy</v>
      </c>
      <c r="E151">
        <v>2019</v>
      </c>
      <c r="F151">
        <v>560.5</v>
      </c>
      <c r="G151">
        <v>10</v>
      </c>
    </row>
    <row r="152" spans="1:7" x14ac:dyDescent="0.3">
      <c r="A152">
        <v>69</v>
      </c>
      <c r="B152" t="str">
        <v>Echo Chamber</v>
      </c>
      <c r="C152" t="str">
        <v>Ethan Evans</v>
      </c>
      <c r="D152" t="str">
        <v>Drama</v>
      </c>
      <c r="E152">
        <v>2019</v>
      </c>
      <c r="F152">
        <v>310.5</v>
      </c>
      <c r="G152">
        <v>17</v>
      </c>
    </row>
    <row r="153" spans="1:7" x14ac:dyDescent="0.3">
      <c r="A153">
        <v>52</v>
      </c>
      <c r="B153" t="str">
        <v>Echo Valley</v>
      </c>
      <c r="C153" t="str">
        <v>Zoe Campbell</v>
      </c>
      <c r="D153" t="str">
        <v>Drama</v>
      </c>
      <c r="E153">
        <v>2019</v>
      </c>
      <c r="F153">
        <v>310.25</v>
      </c>
      <c r="G153">
        <v>22</v>
      </c>
    </row>
    <row r="154" spans="1:7" x14ac:dyDescent="0.3">
      <c r="A154">
        <v>32</v>
      </c>
      <c r="B154" t="str">
        <v>Echoes of the Past</v>
      </c>
      <c r="C154" t="str">
        <v>Lily Campbell</v>
      </c>
      <c r="D154" t="str">
        <v>Drama</v>
      </c>
      <c r="E154">
        <v>2019</v>
      </c>
      <c r="F154">
        <v>310</v>
      </c>
      <c r="G154">
        <v>25</v>
      </c>
    </row>
    <row r="155" spans="1:7" x14ac:dyDescent="0.3">
      <c r="A155">
        <v>45</v>
      </c>
      <c r="B155" t="str">
        <v>Into the Abyss</v>
      </c>
      <c r="C155" t="str">
        <v>Ella Stewart</v>
      </c>
      <c r="D155" t="str">
        <v>Horror</v>
      </c>
      <c r="E155">
        <v>2019</v>
      </c>
      <c r="F155">
        <v>420</v>
      </c>
      <c r="G155">
        <v>15</v>
      </c>
    </row>
    <row r="156" spans="1:7" x14ac:dyDescent="0.3">
      <c r="A156">
        <v>66</v>
      </c>
      <c r="B156" t="str">
        <v>Shattered Skies</v>
      </c>
      <c r="C156" t="str">
        <v>Benjamin Lewis</v>
      </c>
      <c r="D156" t="str">
        <v>Science Fiction</v>
      </c>
      <c r="E156">
        <v>2019</v>
      </c>
      <c r="F156">
        <v>670.1</v>
      </c>
      <c r="G156">
        <v>6</v>
      </c>
    </row>
    <row r="157" spans="1:7" x14ac:dyDescent="0.3">
      <c r="A157">
        <v>74</v>
      </c>
      <c r="B157" t="str">
        <v>The Crystal Kingdom</v>
      </c>
      <c r="C157" t="str">
        <v>Liam Cooper</v>
      </c>
      <c r="D157" t="str">
        <v>Fantasy</v>
      </c>
      <c r="E157">
        <v>2019</v>
      </c>
      <c r="F157">
        <v>490.1</v>
      </c>
      <c r="G157">
        <v>13</v>
      </c>
    </row>
    <row r="158" spans="1:7" x14ac:dyDescent="0.3">
      <c r="A158">
        <v>101</v>
      </c>
      <c r="B158" t="str">
        <v>The Final Dawn</v>
      </c>
      <c r="C158" t="str">
        <v>Olivia Scott</v>
      </c>
      <c r="D158" t="str">
        <v>Science Fiction</v>
      </c>
      <c r="E158">
        <v>2019</v>
      </c>
      <c r="F158">
        <v>680</v>
      </c>
      <c r="G158">
        <v>7</v>
      </c>
    </row>
    <row r="159" spans="1:7" x14ac:dyDescent="0.3">
      <c r="A159">
        <v>9</v>
      </c>
      <c r="B159" t="str">
        <v>The Forgotten Realm</v>
      </c>
      <c r="C159" t="str">
        <v>Mason Adams</v>
      </c>
      <c r="D159" t="str">
        <v>Adventure</v>
      </c>
      <c r="E159">
        <v>2019</v>
      </c>
      <c r="F159">
        <v>540</v>
      </c>
      <c r="G159">
        <v>15</v>
      </c>
    </row>
    <row r="160" spans="1:7" x14ac:dyDescent="0.3">
      <c r="A160">
        <v>26</v>
      </c>
      <c r="B160" t="str">
        <v>The Golden Compass</v>
      </c>
      <c r="C160" t="str">
        <v>Ella Foster</v>
      </c>
      <c r="D160" t="str">
        <v>Fantasy</v>
      </c>
      <c r="E160">
        <v>2019</v>
      </c>
      <c r="F160">
        <v>490.25</v>
      </c>
      <c r="G160">
        <v>10</v>
      </c>
    </row>
    <row r="161" spans="1:7" x14ac:dyDescent="0.3">
      <c r="A161">
        <v>60</v>
      </c>
      <c r="B161" t="str">
        <v>The Last Odyssey</v>
      </c>
      <c r="C161" t="str">
        <v>Olivia Gray</v>
      </c>
      <c r="D161" t="str">
        <v>Adventure</v>
      </c>
      <c r="E161">
        <v>2019</v>
      </c>
      <c r="F161">
        <v>500.3</v>
      </c>
      <c r="G161">
        <v>14</v>
      </c>
    </row>
    <row r="162" spans="1:7" x14ac:dyDescent="0.3">
      <c r="A162">
        <v>96</v>
      </c>
      <c r="B162" t="str">
        <v>The Silver Compass</v>
      </c>
      <c r="C162" t="str">
        <v>Emma Foster</v>
      </c>
      <c r="D162" t="str">
        <v>Adventure</v>
      </c>
      <c r="E162">
        <v>2019</v>
      </c>
      <c r="F162">
        <v>510</v>
      </c>
      <c r="G162">
        <v>15</v>
      </c>
    </row>
    <row r="163" spans="1:7" x14ac:dyDescent="0.3">
      <c r="A163">
        <v>78</v>
      </c>
      <c r="B163" t="str">
        <v>The Silver Wolf</v>
      </c>
      <c r="C163" t="str">
        <v>Sofia Jenkins</v>
      </c>
      <c r="D163" t="str">
        <v>Fantasy</v>
      </c>
      <c r="E163">
        <v>2019</v>
      </c>
      <c r="F163">
        <v>530.25</v>
      </c>
      <c r="G163">
        <v>10</v>
      </c>
    </row>
    <row r="164" spans="1:7" x14ac:dyDescent="0.3">
      <c r="A164">
        <v>13</v>
      </c>
      <c r="B164" t="str">
        <v>Through the Last Gate</v>
      </c>
      <c r="C164" t="str">
        <v>Benjamin Price</v>
      </c>
      <c r="D164" t="str">
        <v>Science Fiction</v>
      </c>
      <c r="E164">
        <v>2019</v>
      </c>
      <c r="F164">
        <v>420.3</v>
      </c>
      <c r="G164">
        <v>16</v>
      </c>
    </row>
    <row r="165" spans="1:7" x14ac:dyDescent="0.3">
      <c r="A165">
        <v>55</v>
      </c>
      <c r="B165" t="str">
        <v>Voices in the Dark</v>
      </c>
      <c r="C165" t="str">
        <v>Eli Parker</v>
      </c>
      <c r="D165" t="str">
        <v>Horror</v>
      </c>
      <c r="E165">
        <v>2019</v>
      </c>
      <c r="F165">
        <v>410.1</v>
      </c>
      <c r="G165">
        <v>16</v>
      </c>
    </row>
    <row r="166" spans="1:7" x14ac:dyDescent="0.3">
      <c r="A166">
        <v>82</v>
      </c>
      <c r="B166" t="str">
        <v>Whispering Shadows</v>
      </c>
      <c r="C166" t="str">
        <v>Avery Lewis</v>
      </c>
      <c r="D166" t="str">
        <v>Thriller</v>
      </c>
      <c r="E166">
        <v>2019</v>
      </c>
      <c r="F166">
        <v>400</v>
      </c>
      <c r="G166">
        <v>12</v>
      </c>
    </row>
    <row r="167" spans="1:7" x14ac:dyDescent="0.3">
      <c r="A167">
        <v>90</v>
      </c>
      <c r="B167" t="str">
        <v>Winds of Time</v>
      </c>
      <c r="C167" t="str">
        <v>Ava Scott</v>
      </c>
      <c r="D167" t="str">
        <v>Fantasy</v>
      </c>
      <c r="E167">
        <v>2019</v>
      </c>
      <c r="F167">
        <v>520</v>
      </c>
      <c r="G167">
        <v>12</v>
      </c>
    </row>
    <row r="168" spans="1:7" x14ac:dyDescent="0.3">
      <c r="A168">
        <v>56</v>
      </c>
      <c r="B168" t="str">
        <v>Broken Chains</v>
      </c>
      <c r="C168" t="str">
        <v>Ava Richardson</v>
      </c>
      <c r="D168" t="str">
        <v>Drama</v>
      </c>
      <c r="E168">
        <v>2020</v>
      </c>
      <c r="F168">
        <v>330</v>
      </c>
      <c r="G168">
        <v>20</v>
      </c>
    </row>
    <row r="169" spans="1:7" x14ac:dyDescent="0.3">
      <c r="A169">
        <v>11</v>
      </c>
      <c r="B169" t="str">
        <v>City of Broken Dreams</v>
      </c>
      <c r="C169" t="str">
        <v>James Lewis</v>
      </c>
      <c r="D169" t="str">
        <v>Drama</v>
      </c>
      <c r="E169">
        <v>2020</v>
      </c>
      <c r="F169">
        <v>350</v>
      </c>
      <c r="G169">
        <v>11</v>
      </c>
    </row>
    <row r="170" spans="1:7" x14ac:dyDescent="0.3">
      <c r="A170">
        <v>93</v>
      </c>
      <c r="B170" t="str">
        <v>Echo of the Storm</v>
      </c>
      <c r="C170" t="str">
        <v>Henry Carter</v>
      </c>
      <c r="D170" t="str">
        <v>Adventure</v>
      </c>
      <c r="E170">
        <v>2020</v>
      </c>
      <c r="F170">
        <v>470.25</v>
      </c>
      <c r="G170">
        <v>11</v>
      </c>
    </row>
    <row r="171" spans="1:7" x14ac:dyDescent="0.3">
      <c r="A171">
        <v>79</v>
      </c>
      <c r="B171" t="str">
        <v>Echoes of Silence</v>
      </c>
      <c r="C171" t="str">
        <v>Nathan Turner</v>
      </c>
      <c r="D171" t="str">
        <v>Drama</v>
      </c>
      <c r="E171">
        <v>2020</v>
      </c>
      <c r="F171">
        <v>310.89999999999998</v>
      </c>
      <c r="G171">
        <v>22</v>
      </c>
    </row>
    <row r="172" spans="1:7" x14ac:dyDescent="0.3">
      <c r="A172">
        <v>2</v>
      </c>
      <c r="B172" t="str">
        <v>Echoes of Tomorrow</v>
      </c>
      <c r="C172" t="str">
        <v>Liam Carter</v>
      </c>
      <c r="D172" t="str">
        <v>Science Fiction</v>
      </c>
      <c r="E172">
        <v>2020</v>
      </c>
      <c r="F172">
        <v>499.5</v>
      </c>
      <c r="G172">
        <v>9</v>
      </c>
    </row>
    <row r="173" spans="1:7" x14ac:dyDescent="0.3">
      <c r="A173">
        <v>105</v>
      </c>
      <c r="B173" t="str">
        <v>Endless Sky</v>
      </c>
      <c r="C173" t="str">
        <v>Jacob Gray</v>
      </c>
      <c r="D173" t="str">
        <v>Science Fiction</v>
      </c>
      <c r="E173">
        <v>2020</v>
      </c>
      <c r="F173">
        <v>670</v>
      </c>
      <c r="G173">
        <v>7</v>
      </c>
    </row>
    <row r="174" spans="1:7" x14ac:dyDescent="0.3">
      <c r="A174">
        <v>88</v>
      </c>
      <c r="B174" t="str">
        <v>Fallen Kingdom</v>
      </c>
      <c r="C174" t="str">
        <v>Logan Parker</v>
      </c>
      <c r="D174" t="str">
        <v>Adventure</v>
      </c>
      <c r="E174">
        <v>2020</v>
      </c>
      <c r="F174">
        <v>500.3</v>
      </c>
      <c r="G174">
        <v>14</v>
      </c>
    </row>
    <row r="175" spans="1:7" x14ac:dyDescent="0.3">
      <c r="A175">
        <v>59</v>
      </c>
      <c r="B175" t="str">
        <v>Firestorm</v>
      </c>
      <c r="C175" t="str">
        <v>Daniel Collins</v>
      </c>
      <c r="D175" t="str">
        <v>Thriller</v>
      </c>
      <c r="E175">
        <v>2020</v>
      </c>
      <c r="F175">
        <v>550.9</v>
      </c>
      <c r="G175">
        <v>9</v>
      </c>
    </row>
    <row r="176" spans="1:7" x14ac:dyDescent="0.3">
      <c r="A176">
        <v>102</v>
      </c>
      <c r="B176" t="str">
        <v>Moonlight Sonata</v>
      </c>
      <c r="C176" t="str">
        <v>Charlotte Adams</v>
      </c>
      <c r="D176" t="str">
        <v>Romance</v>
      </c>
      <c r="E176">
        <v>2020</v>
      </c>
      <c r="F176">
        <v>320.5</v>
      </c>
      <c r="G176">
        <v>23</v>
      </c>
    </row>
    <row r="177" spans="1:7" x14ac:dyDescent="0.3">
      <c r="A177">
        <v>46</v>
      </c>
      <c r="B177" t="str">
        <v>Rise of the Fallen</v>
      </c>
      <c r="C177" t="str">
        <v>David Morgan</v>
      </c>
      <c r="D177" t="str">
        <v>Fantasy</v>
      </c>
      <c r="E177">
        <v>2020</v>
      </c>
      <c r="F177">
        <v>550.29999999999995</v>
      </c>
      <c r="G177">
        <v>10</v>
      </c>
    </row>
    <row r="178" spans="1:7" x14ac:dyDescent="0.3">
      <c r="A178">
        <v>70</v>
      </c>
      <c r="B178" t="str">
        <v>Rise of the Machines</v>
      </c>
      <c r="C178" t="str">
        <v>Jacob Perry</v>
      </c>
      <c r="D178" t="str">
        <v>Science Fiction</v>
      </c>
      <c r="E178">
        <v>2020</v>
      </c>
      <c r="F178">
        <v>720</v>
      </c>
      <c r="G178">
        <v>8</v>
      </c>
    </row>
    <row r="179" spans="1:7" x14ac:dyDescent="0.3">
      <c r="A179">
        <v>28</v>
      </c>
      <c r="B179" t="str">
        <v>Shattered Reflections</v>
      </c>
      <c r="C179" t="str">
        <v>Abigail Gray</v>
      </c>
      <c r="D179" t="str">
        <v>Psychological Fiction</v>
      </c>
      <c r="E179">
        <v>2020</v>
      </c>
      <c r="F179">
        <v>420</v>
      </c>
      <c r="G179">
        <v>15</v>
      </c>
    </row>
    <row r="180" spans="1:7" x14ac:dyDescent="0.3">
      <c r="A180">
        <v>99</v>
      </c>
      <c r="B180" t="str">
        <v>The Crimson Queen</v>
      </c>
      <c r="C180" t="str">
        <v>Grace Evans</v>
      </c>
      <c r="D180" t="str">
        <v>Fantasy</v>
      </c>
      <c r="E180">
        <v>2020</v>
      </c>
      <c r="F180">
        <v>540</v>
      </c>
      <c r="G180">
        <v>9</v>
      </c>
    </row>
    <row r="181" spans="1:7" x14ac:dyDescent="0.3">
      <c r="A181">
        <v>83</v>
      </c>
      <c r="B181" t="str">
        <v>The Eternal Flame</v>
      </c>
      <c r="C181" t="str">
        <v>Olivia Moore</v>
      </c>
      <c r="D181" t="str">
        <v>Fantasy</v>
      </c>
      <c r="E181">
        <v>2020</v>
      </c>
      <c r="F181">
        <v>520.1</v>
      </c>
      <c r="G181">
        <v>9</v>
      </c>
    </row>
    <row r="182" spans="1:7" x14ac:dyDescent="0.3">
      <c r="A182">
        <v>76</v>
      </c>
      <c r="B182" t="str">
        <v>The Hidden Truth</v>
      </c>
      <c r="C182" t="str">
        <v>Lucas Allen</v>
      </c>
      <c r="D182" t="str">
        <v>Mystery</v>
      </c>
      <c r="E182">
        <v>2020</v>
      </c>
      <c r="F182">
        <v>420</v>
      </c>
      <c r="G182">
        <v>11</v>
      </c>
    </row>
    <row r="183" spans="1:7" x14ac:dyDescent="0.3">
      <c r="A183">
        <v>39</v>
      </c>
      <c r="B183" t="str">
        <v>The Infinite Circle</v>
      </c>
      <c r="C183" t="str">
        <v>Ethan Howard</v>
      </c>
      <c r="D183" t="str">
        <v>Science Fiction</v>
      </c>
      <c r="E183">
        <v>2020</v>
      </c>
      <c r="F183">
        <v>640</v>
      </c>
      <c r="G183">
        <v>7</v>
      </c>
    </row>
    <row r="184" spans="1:7" x14ac:dyDescent="0.3">
      <c r="A184">
        <v>42</v>
      </c>
      <c r="B184" t="str">
        <v>The Red Horizon</v>
      </c>
      <c r="C184" t="str">
        <v>Madison Young</v>
      </c>
      <c r="D184" t="str">
        <v>Adventure</v>
      </c>
      <c r="E184">
        <v>2020</v>
      </c>
      <c r="F184">
        <v>410</v>
      </c>
      <c r="G184">
        <v>11</v>
      </c>
    </row>
    <row r="185" spans="1:7" x14ac:dyDescent="0.3">
      <c r="A185">
        <v>63</v>
      </c>
      <c r="B185" t="str">
        <v>The Secret Heir</v>
      </c>
      <c r="C185" t="str">
        <v>Sophia Carter</v>
      </c>
      <c r="D185" t="str">
        <v>Fantasy</v>
      </c>
      <c r="E185">
        <v>2020</v>
      </c>
      <c r="F185">
        <v>540.20000000000005</v>
      </c>
      <c r="G185">
        <v>12</v>
      </c>
    </row>
    <row r="186" spans="1:7" x14ac:dyDescent="0.3">
      <c r="A186">
        <v>91</v>
      </c>
      <c r="B186" t="str">
        <v>The Vanishing Point</v>
      </c>
      <c r="C186" t="str">
        <v>Daniel Ross</v>
      </c>
      <c r="D186" t="str">
        <v>Mystery</v>
      </c>
      <c r="E186">
        <v>2020</v>
      </c>
      <c r="F186">
        <v>440.75</v>
      </c>
      <c r="G186">
        <v>16</v>
      </c>
    </row>
    <row r="187" spans="1:7" x14ac:dyDescent="0.3">
      <c r="A187">
        <v>53</v>
      </c>
      <c r="B187" t="str">
        <v>The Wandering Soul</v>
      </c>
      <c r="C187" t="str">
        <v>Nathan Mitchell</v>
      </c>
      <c r="D187" t="str">
        <v>Fantasy</v>
      </c>
      <c r="E187">
        <v>2020</v>
      </c>
      <c r="F187">
        <v>460.5</v>
      </c>
      <c r="G187">
        <v>12</v>
      </c>
    </row>
    <row r="188" spans="1:7" x14ac:dyDescent="0.3">
      <c r="A188">
        <v>21</v>
      </c>
      <c r="B188" t="str">
        <v>Tides of Destiny</v>
      </c>
      <c r="C188" t="str">
        <v>Michael Gray</v>
      </c>
      <c r="D188" t="str">
        <v>Adventure</v>
      </c>
      <c r="E188">
        <v>2020</v>
      </c>
      <c r="F188">
        <v>470.2</v>
      </c>
      <c r="G188">
        <v>7</v>
      </c>
    </row>
    <row r="189" spans="1:7" x14ac:dyDescent="0.3">
      <c r="A189">
        <v>54</v>
      </c>
      <c r="B189" t="str">
        <v>Blood and Ashes</v>
      </c>
      <c r="C189" t="str">
        <v>Sienna Reed</v>
      </c>
      <c r="D189" t="str">
        <v>Historical Fiction</v>
      </c>
      <c r="E189">
        <v>2021</v>
      </c>
      <c r="F189">
        <v>490.75</v>
      </c>
      <c r="G189">
        <v>8</v>
      </c>
    </row>
    <row r="190" spans="1:7" x14ac:dyDescent="0.3">
      <c r="A190">
        <v>84</v>
      </c>
      <c r="B190" t="str">
        <v>City of Illusions</v>
      </c>
      <c r="C190" t="str">
        <v>James Ross</v>
      </c>
      <c r="D190" t="str">
        <v>Science Fiction</v>
      </c>
      <c r="E190">
        <v>2021</v>
      </c>
      <c r="F190">
        <v>680.9</v>
      </c>
      <c r="G190">
        <v>7</v>
      </c>
    </row>
    <row r="191" spans="1:7" x14ac:dyDescent="0.3">
      <c r="A191">
        <v>58</v>
      </c>
      <c r="B191" t="str">
        <v>City of Smoke</v>
      </c>
      <c r="C191" t="str">
        <v>Ella Morris</v>
      </c>
      <c r="D191" t="str">
        <v>Fantasy</v>
      </c>
      <c r="E191">
        <v>2021</v>
      </c>
      <c r="F191">
        <v>590</v>
      </c>
      <c r="G191">
        <v>10</v>
      </c>
    </row>
    <row r="192" spans="1:7" x14ac:dyDescent="0.3">
      <c r="A192">
        <v>64</v>
      </c>
      <c r="B192" t="str">
        <v>Crimson Winter</v>
      </c>
      <c r="C192" t="str">
        <v>Noah Scott</v>
      </c>
      <c r="D192" t="str">
        <v>Thriller</v>
      </c>
      <c r="E192">
        <v>2021</v>
      </c>
      <c r="F192">
        <v>610.5</v>
      </c>
      <c r="G192">
        <v>8</v>
      </c>
    </row>
    <row r="193" spans="1:7" x14ac:dyDescent="0.3">
      <c r="A193">
        <v>68</v>
      </c>
      <c r="B193" t="str">
        <v>Heart of Shadows</v>
      </c>
      <c r="C193" t="str">
        <v>Charlotte Morgan</v>
      </c>
      <c r="D193" t="str">
        <v>Romance</v>
      </c>
      <c r="E193">
        <v>2021</v>
      </c>
      <c r="F193">
        <v>320</v>
      </c>
      <c r="G193">
        <v>21</v>
      </c>
    </row>
    <row r="194" spans="1:7" x14ac:dyDescent="0.3">
      <c r="A194">
        <v>103</v>
      </c>
      <c r="B194" t="str">
        <v>Journey to Oblivion</v>
      </c>
      <c r="C194" t="str">
        <v>Ethan Perry</v>
      </c>
      <c r="D194" t="str">
        <v>Adventure</v>
      </c>
      <c r="E194">
        <v>2021</v>
      </c>
      <c r="F194">
        <v>510</v>
      </c>
      <c r="G194">
        <v>9</v>
      </c>
    </row>
    <row r="195" spans="1:7" x14ac:dyDescent="0.3">
      <c r="A195">
        <v>47</v>
      </c>
      <c r="B195" t="str">
        <v>Ocean of Time</v>
      </c>
      <c r="C195" t="str">
        <v>Amelia Hill</v>
      </c>
      <c r="D195" t="str">
        <v>Science Fiction</v>
      </c>
      <c r="E195">
        <v>2021</v>
      </c>
      <c r="F195">
        <v>680.75</v>
      </c>
      <c r="G195">
        <v>6</v>
      </c>
    </row>
    <row r="196" spans="1:7" x14ac:dyDescent="0.3">
      <c r="A196">
        <v>17</v>
      </c>
      <c r="B196" t="str">
        <v>Secrets of the Labyrinth</v>
      </c>
      <c r="C196" t="str">
        <v>Lucas Hill</v>
      </c>
      <c r="D196" t="str">
        <v>Mystery</v>
      </c>
      <c r="E196">
        <v>2021</v>
      </c>
      <c r="F196">
        <v>510.45</v>
      </c>
      <c r="G196">
        <v>8</v>
      </c>
    </row>
    <row r="197" spans="1:7" x14ac:dyDescent="0.3">
      <c r="A197">
        <v>5</v>
      </c>
      <c r="B197" t="str">
        <v>Shadows of Eternity</v>
      </c>
      <c r="C197" t="str">
        <v>Emma Clark</v>
      </c>
      <c r="D197" t="str">
        <v>Fantasy</v>
      </c>
      <c r="E197">
        <v>2021</v>
      </c>
      <c r="F197">
        <v>520.75</v>
      </c>
      <c r="G197">
        <v>10</v>
      </c>
    </row>
    <row r="198" spans="1:7" x14ac:dyDescent="0.3">
      <c r="A198">
        <v>97</v>
      </c>
      <c r="B198" t="str">
        <v>Shadows Over Avalon</v>
      </c>
      <c r="C198" t="str">
        <v>Benjamin Hill</v>
      </c>
      <c r="D198" t="str">
        <v>Fantasy</v>
      </c>
      <c r="E198">
        <v>2021</v>
      </c>
      <c r="F198">
        <v>620</v>
      </c>
      <c r="G198">
        <v>7</v>
      </c>
    </row>
    <row r="199" spans="1:7" x14ac:dyDescent="0.3">
      <c r="A199">
        <v>80</v>
      </c>
      <c r="B199" t="str">
        <v>The Clockwork Heart</v>
      </c>
      <c r="C199" t="str">
        <v>Amelia Adams</v>
      </c>
      <c r="D199" t="str">
        <v>Steampunk</v>
      </c>
      <c r="E199">
        <v>2021</v>
      </c>
      <c r="F199">
        <v>610</v>
      </c>
      <c r="G199">
        <v>8</v>
      </c>
    </row>
    <row r="200" spans="1:7" x14ac:dyDescent="0.3">
      <c r="A200">
        <v>89</v>
      </c>
      <c r="B200" t="str">
        <v>The Darkened Path</v>
      </c>
      <c r="C200" t="str">
        <v>Ella Mitchell</v>
      </c>
      <c r="D200" t="str">
        <v>Thriller</v>
      </c>
      <c r="E200">
        <v>2021</v>
      </c>
      <c r="F200">
        <v>610.4</v>
      </c>
      <c r="G200">
        <v>10</v>
      </c>
    </row>
    <row r="201" spans="1:7" x14ac:dyDescent="0.3">
      <c r="A201">
        <v>29</v>
      </c>
      <c r="B201" t="str">
        <v>The Neon Horizon</v>
      </c>
      <c r="C201" t="str">
        <v>Joseph Adams</v>
      </c>
      <c r="D201" t="str">
        <v>Cyberpunk</v>
      </c>
      <c r="E201">
        <v>2021</v>
      </c>
      <c r="F201">
        <v>550.9</v>
      </c>
      <c r="G201">
        <v>6</v>
      </c>
    </row>
    <row r="202" spans="1:7" x14ac:dyDescent="0.3">
      <c r="A202">
        <v>23</v>
      </c>
      <c r="B202" t="str">
        <v>The Quantum Paradox</v>
      </c>
      <c r="C202" t="str">
        <v>Jack Richardson</v>
      </c>
      <c r="D202" t="str">
        <v>Science Fiction</v>
      </c>
      <c r="E202">
        <v>2021</v>
      </c>
      <c r="F202">
        <v>650.75</v>
      </c>
      <c r="G202">
        <v>5</v>
      </c>
    </row>
    <row r="203" spans="1:7" x14ac:dyDescent="0.3">
      <c r="A203">
        <v>34</v>
      </c>
      <c r="B203" t="str">
        <v>The Silent Guardian</v>
      </c>
      <c r="C203" t="str">
        <v>Chloe Phillips</v>
      </c>
      <c r="D203" t="str">
        <v>Thriller</v>
      </c>
      <c r="E203">
        <v>2021</v>
      </c>
      <c r="F203">
        <v>590.5</v>
      </c>
      <c r="G203">
        <v>11</v>
      </c>
    </row>
    <row r="204" spans="1:7" x14ac:dyDescent="0.3">
      <c r="A204">
        <v>12</v>
      </c>
      <c r="B204" t="str">
        <v>The Stolen Horizon</v>
      </c>
      <c r="C204" t="str">
        <v>Mia Turner</v>
      </c>
      <c r="D204" t="str">
        <v>Adventure</v>
      </c>
      <c r="E204">
        <v>2021</v>
      </c>
      <c r="F204">
        <v>499.99</v>
      </c>
      <c r="G204">
        <v>9</v>
      </c>
    </row>
    <row r="205" spans="1:7" x14ac:dyDescent="0.3">
      <c r="A205">
        <v>33</v>
      </c>
      <c r="B205" t="str">
        <v>Beyond the Stars</v>
      </c>
      <c r="C205" t="str">
        <v>Owen Stewart</v>
      </c>
      <c r="D205" t="str">
        <v>Science Fiction</v>
      </c>
      <c r="E205">
        <v>2022</v>
      </c>
      <c r="F205">
        <v>720</v>
      </c>
      <c r="G205">
        <v>8</v>
      </c>
    </row>
    <row r="206" spans="1:7" x14ac:dyDescent="0.3">
      <c r="A206">
        <v>62</v>
      </c>
      <c r="B206" t="str">
        <v>Dreams of Tomorrow</v>
      </c>
      <c r="C206" t="str">
        <v>Harper Adams</v>
      </c>
      <c r="D206" t="str">
        <v>Science Fiction</v>
      </c>
      <c r="E206">
        <v>2022</v>
      </c>
      <c r="F206">
        <v>690</v>
      </c>
      <c r="G206">
        <v>7</v>
      </c>
    </row>
    <row r="207" spans="1:7" x14ac:dyDescent="0.3">
      <c r="A207">
        <v>92</v>
      </c>
      <c r="B207" t="str">
        <v>Ocean’s Whisper</v>
      </c>
      <c r="C207" t="str">
        <v>Mia Adams</v>
      </c>
      <c r="D207" t="str">
        <v>Romance</v>
      </c>
      <c r="E207">
        <v>2022</v>
      </c>
      <c r="F207">
        <v>310</v>
      </c>
      <c r="G207">
        <v>18</v>
      </c>
    </row>
    <row r="208" spans="1:7" x14ac:dyDescent="0.3">
      <c r="A208">
        <v>98</v>
      </c>
      <c r="B208" t="str">
        <v>The Dark Sun</v>
      </c>
      <c r="C208" t="str">
        <v>Aiden Lewis</v>
      </c>
      <c r="D208" t="str">
        <v>Science Fiction</v>
      </c>
      <c r="E208">
        <v>2022</v>
      </c>
      <c r="F208">
        <v>700.25</v>
      </c>
      <c r="G208">
        <v>8</v>
      </c>
    </row>
    <row r="209" spans="1:7" x14ac:dyDescent="0.3">
      <c r="A209">
        <v>50</v>
      </c>
      <c r="B209" t="str">
        <v>The Edge of Shadows</v>
      </c>
      <c r="C209" t="str">
        <v>Mila Ross</v>
      </c>
      <c r="D209" t="str">
        <v>Thriller</v>
      </c>
      <c r="E209">
        <v>2022</v>
      </c>
      <c r="F209">
        <v>610.5</v>
      </c>
      <c r="G209">
        <v>7</v>
      </c>
    </row>
    <row r="210" spans="1:7" x14ac:dyDescent="0.3">
      <c r="A210">
        <v>71</v>
      </c>
      <c r="B210" t="str">
        <v>The Forgotten Path</v>
      </c>
      <c r="C210" t="str">
        <v>Ava Gray</v>
      </c>
      <c r="D210" t="str">
        <v>Adventure</v>
      </c>
      <c r="E210">
        <v>2022</v>
      </c>
      <c r="F210">
        <v>510.4</v>
      </c>
      <c r="G210">
        <v>9</v>
      </c>
    </row>
    <row r="211" spans="1:7" x14ac:dyDescent="0.3">
      <c r="A211">
        <v>104</v>
      </c>
      <c r="B211" t="str">
        <v>The Glass Kingdom</v>
      </c>
      <c r="C211" t="str">
        <v>Isabella Turner</v>
      </c>
      <c r="D211" t="str">
        <v>Fantasy</v>
      </c>
      <c r="E211">
        <v>2022</v>
      </c>
      <c r="F211">
        <v>590.9</v>
      </c>
      <c r="G211">
        <v>8</v>
      </c>
    </row>
    <row r="212" spans="1:7" x14ac:dyDescent="0.3">
      <c r="A212">
        <v>7</v>
      </c>
      <c r="B212" t="str">
        <v>The Iron Code</v>
      </c>
      <c r="C212" t="str">
        <v>Olivia Cooper</v>
      </c>
      <c r="D212" t="str">
        <v>Thriller</v>
      </c>
      <c r="E212">
        <v>2022</v>
      </c>
      <c r="F212">
        <v>610</v>
      </c>
      <c r="G212">
        <v>7</v>
      </c>
    </row>
    <row r="213" spans="1:7" x14ac:dyDescent="0.3">
      <c r="A213">
        <v>15</v>
      </c>
      <c r="B213" t="str">
        <v>The Painted Mirror</v>
      </c>
      <c r="C213" t="str">
        <v>Logan Ward</v>
      </c>
      <c r="D213" t="str">
        <v>Fantasy</v>
      </c>
      <c r="E213">
        <v>2022</v>
      </c>
      <c r="F213">
        <v>620.75</v>
      </c>
      <c r="G213">
        <v>6</v>
      </c>
    </row>
    <row r="214" spans="1:7" x14ac:dyDescent="0.3">
      <c r="A214">
        <v>86</v>
      </c>
      <c r="B214" t="str">
        <v>The Scarlet Blade</v>
      </c>
      <c r="C214" t="str">
        <v>Benjamin Hughes</v>
      </c>
      <c r="D214" t="str">
        <v>Historical Fiction</v>
      </c>
      <c r="E214">
        <v>2022</v>
      </c>
      <c r="F214">
        <v>490</v>
      </c>
      <c r="G214">
        <v>11</v>
      </c>
    </row>
    <row r="215" spans="1:7" x14ac:dyDescent="0.3">
      <c r="A215">
        <v>43</v>
      </c>
      <c r="B215" t="str">
        <v>Whispers of the Forest</v>
      </c>
      <c r="C215" t="str">
        <v>Andrew Morris</v>
      </c>
      <c r="D215" t="str">
        <v>Fantasy</v>
      </c>
      <c r="E215">
        <v>2022</v>
      </c>
      <c r="F215">
        <v>590.25</v>
      </c>
      <c r="G215">
        <v>8</v>
      </c>
    </row>
  </sheetData>
  <mergeCells count="1">
    <mergeCell ref="C108:D108"/>
  </mergeCells>
  <conditionalFormatting sqref="F1">
    <cfRule type="top10" dxfId="20" priority="14" bottom="1" rank="10"/>
    <cfRule type="top10" dxfId="19" priority="15" bottom="1" rank="10"/>
    <cfRule type="top10" dxfId="18" priority="16" percent="1" rank="10"/>
    <cfRule type="top10" dxfId="17" priority="17" rank="10"/>
  </conditionalFormatting>
  <conditionalFormatting sqref="F2:F106">
    <cfRule type="containsText" dxfId="16" priority="5" operator="containsText" text="2017">
      <formula>NOT(ISERROR(SEARCH("2017",F2)))</formula>
    </cfRule>
  </conditionalFormatting>
  <conditionalFormatting sqref="F110">
    <cfRule type="top10" dxfId="15" priority="6" bottom="1" rank="10"/>
    <cfRule type="top10" dxfId="14" priority="7" bottom="1" rank="10"/>
    <cfRule type="top10" dxfId="13" priority="8" percent="1" rank="10"/>
    <cfRule type="top10" dxfId="12" priority="9" rank="10"/>
  </conditionalFormatting>
  <conditionalFormatting sqref="N1">
    <cfRule type="top10" dxfId="11" priority="1" bottom="1" rank="10"/>
    <cfRule type="top10" dxfId="10" priority="2" bottom="1" rank="10"/>
    <cfRule type="top10" dxfId="9" priority="3" percent="1" rank="10"/>
    <cfRule type="top10" dxfId="8" priority="4" rank="10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A11FA-291D-4E63-BB7A-9C213E39DF87}">
  <dimension ref="A1:Q214"/>
  <sheetViews>
    <sheetView zoomScale="90" zoomScaleNormal="90" workbookViewId="0">
      <selection activeCell="L17" sqref="L17"/>
    </sheetView>
  </sheetViews>
  <sheetFormatPr defaultRowHeight="14.4" x14ac:dyDescent="0.3"/>
  <cols>
    <col min="1" max="1" width="4.44140625" bestFit="1" customWidth="1"/>
    <col min="2" max="2" width="25.88671875" bestFit="1" customWidth="1"/>
    <col min="3" max="3" width="16.5546875" bestFit="1" customWidth="1"/>
    <col min="4" max="4" width="19.109375" bestFit="1" customWidth="1"/>
    <col min="5" max="5" width="5.5546875" bestFit="1" customWidth="1"/>
    <col min="6" max="6" width="7.77734375" bestFit="1" customWidth="1"/>
    <col min="7" max="7" width="3.33203125" bestFit="1" customWidth="1"/>
    <col min="9" max="9" width="4" bestFit="1" customWidth="1"/>
    <col min="10" max="10" width="3.33203125" bestFit="1" customWidth="1"/>
    <col min="11" max="11" width="22.77734375" bestFit="1" customWidth="1"/>
    <col min="12" max="12" width="16.109375" bestFit="1" customWidth="1"/>
    <col min="13" max="13" width="15.6640625" bestFit="1" customWidth="1"/>
    <col min="14" max="14" width="5.5546875" bestFit="1" customWidth="1"/>
    <col min="15" max="15" width="7.77734375" bestFit="1" customWidth="1"/>
    <col min="16" max="16" width="3.33203125" bestFit="1" customWidth="1"/>
    <col min="17" max="17" width="15.6640625" bestFit="1" customWidth="1"/>
  </cols>
  <sheetData>
    <row r="1" spans="1:17" ht="23.4" x14ac:dyDescent="0.45">
      <c r="J1" s="9" t="s">
        <v>231</v>
      </c>
      <c r="K1" s="9"/>
      <c r="L1" s="9"/>
      <c r="M1" s="9"/>
      <c r="N1" s="9"/>
      <c r="O1" s="9"/>
      <c r="P1" s="9"/>
      <c r="Q1" s="10" t="s">
        <v>3</v>
      </c>
    </row>
    <row r="2" spans="1:17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224</v>
      </c>
      <c r="J2" s="4" cm="1">
        <f t="array" ref="J2:P10">_xlfn._xlws.FILTER(_xlfn.ANCHORARRAY(A110),D110:D214=Q2,"Not available")</f>
        <v>6</v>
      </c>
      <c r="K2" s="4" t="str">
        <v>Fragments of Light</v>
      </c>
      <c r="L2" s="4" t="str">
        <v>Ethan Hughes</v>
      </c>
      <c r="M2" s="4" t="str">
        <v>Drama</v>
      </c>
      <c r="N2" s="4">
        <v>2015</v>
      </c>
      <c r="O2" s="4">
        <v>280.39999999999998</v>
      </c>
      <c r="P2" s="4">
        <v>8</v>
      </c>
      <c r="Q2" t="s">
        <v>23</v>
      </c>
    </row>
    <row r="3" spans="1:17" x14ac:dyDescent="0.3">
      <c r="A3" s="11">
        <v>75</v>
      </c>
      <c r="B3" s="11" t="s">
        <v>165</v>
      </c>
      <c r="C3" s="11" t="s">
        <v>166</v>
      </c>
      <c r="D3" s="11" t="s">
        <v>14</v>
      </c>
      <c r="E3" s="11">
        <v>2017</v>
      </c>
      <c r="F3" s="11">
        <v>310</v>
      </c>
      <c r="G3" s="11">
        <v>75</v>
      </c>
      <c r="J3">
        <v>11</v>
      </c>
      <c r="K3" t="str">
        <v>City of Broken Dreams</v>
      </c>
      <c r="L3" t="str">
        <v>James Lewis</v>
      </c>
      <c r="M3" t="str">
        <v>Drama</v>
      </c>
      <c r="N3">
        <v>2020</v>
      </c>
      <c r="O3">
        <v>350</v>
      </c>
      <c r="P3">
        <v>11</v>
      </c>
    </row>
    <row r="4" spans="1:17" x14ac:dyDescent="0.3">
      <c r="A4" s="11">
        <v>22</v>
      </c>
      <c r="B4" s="11" t="s">
        <v>57</v>
      </c>
      <c r="C4" s="11" t="s">
        <v>58</v>
      </c>
      <c r="D4" s="11" t="s">
        <v>14</v>
      </c>
      <c r="E4" s="11">
        <v>2019</v>
      </c>
      <c r="F4" s="11">
        <v>320</v>
      </c>
      <c r="G4" s="11">
        <v>22</v>
      </c>
      <c r="J4">
        <v>25</v>
      </c>
      <c r="K4" t="str">
        <v>Fires of Redemption</v>
      </c>
      <c r="L4" t="str">
        <v>Daniel Perry</v>
      </c>
      <c r="M4" t="str">
        <v>Drama</v>
      </c>
      <c r="N4">
        <v>2017</v>
      </c>
      <c r="O4">
        <v>360</v>
      </c>
      <c r="P4">
        <v>18</v>
      </c>
    </row>
    <row r="5" spans="1:17" x14ac:dyDescent="0.3">
      <c r="A5" s="11">
        <v>85</v>
      </c>
      <c r="B5" s="11" t="s">
        <v>185</v>
      </c>
      <c r="C5" s="11" t="s">
        <v>186</v>
      </c>
      <c r="D5" s="11" t="s">
        <v>23</v>
      </c>
      <c r="E5" s="11">
        <v>2019</v>
      </c>
      <c r="F5" s="11">
        <v>320.25</v>
      </c>
      <c r="G5" s="11">
        <v>17</v>
      </c>
      <c r="J5">
        <v>32</v>
      </c>
      <c r="K5" t="str">
        <v>Echoes of the Past</v>
      </c>
      <c r="L5" t="str">
        <v>Lily Campbell</v>
      </c>
      <c r="M5" t="str">
        <v>Drama</v>
      </c>
      <c r="N5">
        <v>2019</v>
      </c>
      <c r="O5">
        <v>310</v>
      </c>
      <c r="P5">
        <v>25</v>
      </c>
    </row>
    <row r="6" spans="1:17" x14ac:dyDescent="0.3">
      <c r="A6" s="11">
        <v>18</v>
      </c>
      <c r="B6" s="11" t="s">
        <v>48</v>
      </c>
      <c r="C6" s="11" t="s">
        <v>49</v>
      </c>
      <c r="D6" s="11" t="s">
        <v>17</v>
      </c>
      <c r="E6" s="11">
        <v>2016</v>
      </c>
      <c r="F6" s="11">
        <v>450</v>
      </c>
      <c r="G6" s="11">
        <v>14</v>
      </c>
      <c r="J6">
        <v>52</v>
      </c>
      <c r="K6" t="str">
        <v>Echo Valley</v>
      </c>
      <c r="L6" t="str">
        <v>Zoe Campbell</v>
      </c>
      <c r="M6" t="str">
        <v>Drama</v>
      </c>
      <c r="N6">
        <v>2019</v>
      </c>
      <c r="O6">
        <v>310.25</v>
      </c>
      <c r="P6">
        <v>22</v>
      </c>
    </row>
    <row r="7" spans="1:17" x14ac:dyDescent="0.3">
      <c r="A7" s="11">
        <v>4</v>
      </c>
      <c r="B7" s="11" t="s">
        <v>15</v>
      </c>
      <c r="C7" s="11" t="s">
        <v>16</v>
      </c>
      <c r="D7" s="11" t="s">
        <v>17</v>
      </c>
      <c r="E7" s="11">
        <v>2019</v>
      </c>
      <c r="F7" s="11">
        <v>450.25</v>
      </c>
      <c r="G7" s="11">
        <v>14</v>
      </c>
      <c r="J7">
        <v>56</v>
      </c>
      <c r="K7" t="str">
        <v>Broken Chains</v>
      </c>
      <c r="L7" t="str">
        <v>Ava Richardson</v>
      </c>
      <c r="M7" t="str">
        <v>Drama</v>
      </c>
      <c r="N7">
        <v>2020</v>
      </c>
      <c r="O7">
        <v>330</v>
      </c>
      <c r="P7">
        <v>20</v>
      </c>
    </row>
    <row r="8" spans="1:17" x14ac:dyDescent="0.3">
      <c r="A8" s="11">
        <v>24</v>
      </c>
      <c r="B8" s="11" t="s">
        <v>61</v>
      </c>
      <c r="C8" s="11" t="s">
        <v>62</v>
      </c>
      <c r="D8" s="11" t="s">
        <v>26</v>
      </c>
      <c r="E8" s="11">
        <v>2018</v>
      </c>
      <c r="F8" s="11">
        <v>410.9</v>
      </c>
      <c r="G8" s="11">
        <v>13</v>
      </c>
      <c r="J8">
        <v>69</v>
      </c>
      <c r="K8" t="str">
        <v>Echo Chamber</v>
      </c>
      <c r="L8" t="str">
        <v>Ethan Evans</v>
      </c>
      <c r="M8" t="str">
        <v>Drama</v>
      </c>
      <c r="N8">
        <v>2019</v>
      </c>
      <c r="O8">
        <v>310.5</v>
      </c>
      <c r="P8">
        <v>17</v>
      </c>
    </row>
    <row r="9" spans="1:17" x14ac:dyDescent="0.3">
      <c r="A9" s="11">
        <v>61</v>
      </c>
      <c r="B9" s="11" t="s">
        <v>137</v>
      </c>
      <c r="C9" s="11" t="s">
        <v>138</v>
      </c>
      <c r="D9" s="11" t="s">
        <v>14</v>
      </c>
      <c r="E9" s="11">
        <v>2018</v>
      </c>
      <c r="F9" s="11">
        <v>290</v>
      </c>
      <c r="G9" s="11">
        <v>25</v>
      </c>
      <c r="J9">
        <v>79</v>
      </c>
      <c r="K9" t="str">
        <v>Echoes of Silence</v>
      </c>
      <c r="L9" t="str">
        <v>Nathan Turner</v>
      </c>
      <c r="M9" t="str">
        <v>Drama</v>
      </c>
      <c r="N9">
        <v>2020</v>
      </c>
      <c r="O9">
        <v>310.89999999999998</v>
      </c>
      <c r="P9">
        <v>22</v>
      </c>
    </row>
    <row r="10" spans="1:17" x14ac:dyDescent="0.3">
      <c r="A10" s="11">
        <v>33</v>
      </c>
      <c r="B10" s="11" t="s">
        <v>81</v>
      </c>
      <c r="C10" s="11" t="s">
        <v>82</v>
      </c>
      <c r="D10" s="11" t="s">
        <v>11</v>
      </c>
      <c r="E10" s="11">
        <v>2022</v>
      </c>
      <c r="F10" s="11">
        <v>720</v>
      </c>
      <c r="G10" s="11">
        <v>8</v>
      </c>
      <c r="J10">
        <v>85</v>
      </c>
      <c r="K10" t="str">
        <v>Ashes and Embers</v>
      </c>
      <c r="L10" t="str">
        <v>Lily Thompson</v>
      </c>
      <c r="M10" t="str">
        <v>Drama</v>
      </c>
      <c r="N10">
        <v>2019</v>
      </c>
      <c r="O10">
        <v>320.25</v>
      </c>
      <c r="P10">
        <v>17</v>
      </c>
    </row>
    <row r="11" spans="1:17" x14ac:dyDescent="0.3">
      <c r="A11" s="11">
        <v>54</v>
      </c>
      <c r="B11" s="11" t="s">
        <v>123</v>
      </c>
      <c r="C11" s="11" t="s">
        <v>124</v>
      </c>
      <c r="D11" s="11" t="s">
        <v>17</v>
      </c>
      <c r="E11" s="11">
        <v>2021</v>
      </c>
      <c r="F11" s="11">
        <v>490.75</v>
      </c>
      <c r="G11" s="11">
        <v>8</v>
      </c>
    </row>
    <row r="12" spans="1:17" x14ac:dyDescent="0.3">
      <c r="A12" s="11">
        <v>56</v>
      </c>
      <c r="B12" s="11" t="s">
        <v>127</v>
      </c>
      <c r="C12" s="11" t="s">
        <v>128</v>
      </c>
      <c r="D12" s="11" t="s">
        <v>23</v>
      </c>
      <c r="E12" s="11">
        <v>2020</v>
      </c>
      <c r="F12" s="11">
        <v>330</v>
      </c>
      <c r="G12" s="11">
        <v>20</v>
      </c>
    </row>
    <row r="13" spans="1:17" x14ac:dyDescent="0.3">
      <c r="A13" s="11">
        <v>10</v>
      </c>
      <c r="B13" s="11" t="s">
        <v>32</v>
      </c>
      <c r="C13" s="11" t="s">
        <v>33</v>
      </c>
      <c r="D13" s="11" t="s">
        <v>20</v>
      </c>
      <c r="E13" s="11">
        <v>2018</v>
      </c>
      <c r="F13" s="11">
        <v>320.75</v>
      </c>
      <c r="G13" s="11">
        <v>25</v>
      </c>
    </row>
    <row r="14" spans="1:17" x14ac:dyDescent="0.3">
      <c r="A14" s="11">
        <v>11</v>
      </c>
      <c r="B14" s="11" t="s">
        <v>34</v>
      </c>
      <c r="C14" s="11" t="s">
        <v>35</v>
      </c>
      <c r="D14" s="11" t="s">
        <v>23</v>
      </c>
      <c r="E14" s="11">
        <v>2020</v>
      </c>
      <c r="F14" s="11">
        <v>350</v>
      </c>
      <c r="G14" s="11">
        <v>11</v>
      </c>
    </row>
    <row r="15" spans="1:17" x14ac:dyDescent="0.3">
      <c r="A15" s="11">
        <v>84</v>
      </c>
      <c r="B15" s="11" t="s">
        <v>183</v>
      </c>
      <c r="C15" s="11" t="s">
        <v>184</v>
      </c>
      <c r="D15" s="11" t="s">
        <v>11</v>
      </c>
      <c r="E15" s="11">
        <v>2021</v>
      </c>
      <c r="F15" s="11">
        <v>680.9</v>
      </c>
      <c r="G15" s="11">
        <v>7</v>
      </c>
    </row>
    <row r="16" spans="1:17" x14ac:dyDescent="0.3">
      <c r="A16" s="11">
        <v>58</v>
      </c>
      <c r="B16" s="11" t="s">
        <v>131</v>
      </c>
      <c r="C16" s="11" t="s">
        <v>132</v>
      </c>
      <c r="D16" s="11" t="s">
        <v>20</v>
      </c>
      <c r="E16" s="11">
        <v>2021</v>
      </c>
      <c r="F16" s="11">
        <v>590</v>
      </c>
      <c r="G16" s="11">
        <v>10</v>
      </c>
    </row>
    <row r="17" spans="1:7" x14ac:dyDescent="0.3">
      <c r="A17" s="11">
        <v>64</v>
      </c>
      <c r="B17" s="11" t="s">
        <v>143</v>
      </c>
      <c r="C17" s="11" t="s">
        <v>144</v>
      </c>
      <c r="D17" s="11" t="s">
        <v>26</v>
      </c>
      <c r="E17" s="11">
        <v>2021</v>
      </c>
      <c r="F17" s="11">
        <v>610.5</v>
      </c>
      <c r="G17" s="11">
        <v>8</v>
      </c>
    </row>
    <row r="18" spans="1:7" x14ac:dyDescent="0.3">
      <c r="A18" s="11">
        <v>37</v>
      </c>
      <c r="B18" s="11" t="s">
        <v>89</v>
      </c>
      <c r="C18" s="11" t="s">
        <v>90</v>
      </c>
      <c r="D18" s="11" t="s">
        <v>20</v>
      </c>
      <c r="E18" s="11">
        <v>2019</v>
      </c>
      <c r="F18" s="11">
        <v>530.20000000000005</v>
      </c>
      <c r="G18" s="11">
        <v>10</v>
      </c>
    </row>
    <row r="19" spans="1:7" x14ac:dyDescent="0.3">
      <c r="A19" s="11">
        <v>73</v>
      </c>
      <c r="B19" s="11" t="s">
        <v>161</v>
      </c>
      <c r="C19" s="11" t="s">
        <v>162</v>
      </c>
      <c r="D19" s="11" t="s">
        <v>26</v>
      </c>
      <c r="E19" s="11">
        <v>2018</v>
      </c>
      <c r="F19" s="11">
        <v>380.75</v>
      </c>
      <c r="G19" s="11">
        <v>10</v>
      </c>
    </row>
    <row r="20" spans="1:7" x14ac:dyDescent="0.3">
      <c r="A20" s="11">
        <v>41</v>
      </c>
      <c r="B20" s="11" t="s">
        <v>97</v>
      </c>
      <c r="C20" s="11" t="s">
        <v>98</v>
      </c>
      <c r="D20" s="11" t="s">
        <v>54</v>
      </c>
      <c r="E20" s="11">
        <v>2019</v>
      </c>
      <c r="F20" s="11">
        <v>520.75</v>
      </c>
      <c r="G20" s="11">
        <v>9</v>
      </c>
    </row>
    <row r="21" spans="1:7" x14ac:dyDescent="0.3">
      <c r="A21" s="11">
        <v>87</v>
      </c>
      <c r="B21" s="11" t="s">
        <v>189</v>
      </c>
      <c r="C21" s="11" t="s">
        <v>190</v>
      </c>
      <c r="D21" s="11" t="s">
        <v>20</v>
      </c>
      <c r="E21" s="11">
        <v>2018</v>
      </c>
      <c r="F21" s="11">
        <v>560.75</v>
      </c>
      <c r="G21" s="11">
        <v>9</v>
      </c>
    </row>
    <row r="22" spans="1:7" x14ac:dyDescent="0.3">
      <c r="A22" s="11">
        <v>19</v>
      </c>
      <c r="B22" s="11" t="s">
        <v>50</v>
      </c>
      <c r="C22" s="11" t="s">
        <v>51</v>
      </c>
      <c r="D22" s="11" t="s">
        <v>20</v>
      </c>
      <c r="E22" s="11">
        <v>2019</v>
      </c>
      <c r="F22" s="11">
        <v>560.5</v>
      </c>
      <c r="G22" s="11">
        <v>10</v>
      </c>
    </row>
    <row r="23" spans="1:7" x14ac:dyDescent="0.3">
      <c r="A23" s="11">
        <v>62</v>
      </c>
      <c r="B23" s="11" t="s">
        <v>139</v>
      </c>
      <c r="C23" s="11" t="s">
        <v>140</v>
      </c>
      <c r="D23" s="11" t="s">
        <v>11</v>
      </c>
      <c r="E23" s="11">
        <v>2022</v>
      </c>
      <c r="F23" s="11">
        <v>690</v>
      </c>
      <c r="G23" s="11">
        <v>7</v>
      </c>
    </row>
    <row r="24" spans="1:7" x14ac:dyDescent="0.3">
      <c r="A24" s="11">
        <v>69</v>
      </c>
      <c r="B24" s="11" t="s">
        <v>153</v>
      </c>
      <c r="C24" s="11" t="s">
        <v>154</v>
      </c>
      <c r="D24" s="11" t="s">
        <v>23</v>
      </c>
      <c r="E24" s="11">
        <v>2019</v>
      </c>
      <c r="F24" s="11">
        <v>310.5</v>
      </c>
      <c r="G24" s="11">
        <v>17</v>
      </c>
    </row>
    <row r="25" spans="1:7" x14ac:dyDescent="0.3">
      <c r="A25" s="11">
        <v>93</v>
      </c>
      <c r="B25" s="11" t="s">
        <v>200</v>
      </c>
      <c r="C25" s="11" t="s">
        <v>201</v>
      </c>
      <c r="D25" s="11" t="s">
        <v>31</v>
      </c>
      <c r="E25" s="11">
        <v>2020</v>
      </c>
      <c r="F25" s="11">
        <v>470.25</v>
      </c>
      <c r="G25" s="11">
        <v>11</v>
      </c>
    </row>
    <row r="26" spans="1:7" x14ac:dyDescent="0.3">
      <c r="A26" s="11">
        <v>52</v>
      </c>
      <c r="B26" s="11" t="s">
        <v>119</v>
      </c>
      <c r="C26" s="11" t="s">
        <v>120</v>
      </c>
      <c r="D26" s="11" t="s">
        <v>23</v>
      </c>
      <c r="E26" s="11">
        <v>2019</v>
      </c>
      <c r="F26" s="11">
        <v>310.25</v>
      </c>
      <c r="G26" s="11">
        <v>22</v>
      </c>
    </row>
    <row r="27" spans="1:7" x14ac:dyDescent="0.3">
      <c r="A27" s="11">
        <v>79</v>
      </c>
      <c r="B27" s="11" t="s">
        <v>172</v>
      </c>
      <c r="C27" s="11" t="s">
        <v>173</v>
      </c>
      <c r="D27" s="11" t="s">
        <v>23</v>
      </c>
      <c r="E27" s="11">
        <v>2020</v>
      </c>
      <c r="F27" s="11">
        <v>310.89999999999998</v>
      </c>
      <c r="G27" s="11">
        <v>22</v>
      </c>
    </row>
    <row r="28" spans="1:7" x14ac:dyDescent="0.3">
      <c r="A28" s="11">
        <v>32</v>
      </c>
      <c r="B28" s="11" t="s">
        <v>79</v>
      </c>
      <c r="C28" s="11" t="s">
        <v>80</v>
      </c>
      <c r="D28" s="11" t="s">
        <v>23</v>
      </c>
      <c r="E28" s="11">
        <v>2019</v>
      </c>
      <c r="F28" s="11">
        <v>310</v>
      </c>
      <c r="G28" s="11">
        <v>25</v>
      </c>
    </row>
    <row r="29" spans="1:7" x14ac:dyDescent="0.3">
      <c r="A29" s="11">
        <v>2</v>
      </c>
      <c r="B29" s="11" t="s">
        <v>9</v>
      </c>
      <c r="C29" s="11" t="s">
        <v>10</v>
      </c>
      <c r="D29" s="11" t="s">
        <v>11</v>
      </c>
      <c r="E29" s="11">
        <v>2020</v>
      </c>
      <c r="F29" s="11">
        <v>499.5</v>
      </c>
      <c r="G29" s="11">
        <v>9</v>
      </c>
    </row>
    <row r="30" spans="1:7" x14ac:dyDescent="0.3">
      <c r="A30" s="11">
        <v>16</v>
      </c>
      <c r="B30" s="11" t="s">
        <v>44</v>
      </c>
      <c r="C30" s="11" t="s">
        <v>45</v>
      </c>
      <c r="D30" s="11" t="s">
        <v>26</v>
      </c>
      <c r="E30" s="11">
        <v>2017</v>
      </c>
      <c r="F30" s="11">
        <v>380.9</v>
      </c>
      <c r="G30" s="11">
        <v>19</v>
      </c>
    </row>
    <row r="31" spans="1:7" x14ac:dyDescent="0.3">
      <c r="A31" s="11">
        <v>105</v>
      </c>
      <c r="B31" s="11" t="s">
        <v>222</v>
      </c>
      <c r="C31" s="11" t="s">
        <v>223</v>
      </c>
      <c r="D31" s="11" t="s">
        <v>11</v>
      </c>
      <c r="E31" s="11">
        <v>2020</v>
      </c>
      <c r="F31" s="11">
        <v>670</v>
      </c>
      <c r="G31" s="11">
        <v>7</v>
      </c>
    </row>
    <row r="32" spans="1:7" x14ac:dyDescent="0.3">
      <c r="A32" s="11">
        <v>88</v>
      </c>
      <c r="B32" s="11" t="s">
        <v>191</v>
      </c>
      <c r="C32" s="11" t="s">
        <v>192</v>
      </c>
      <c r="D32" s="11" t="s">
        <v>31</v>
      </c>
      <c r="E32" s="11">
        <v>2020</v>
      </c>
      <c r="F32" s="11">
        <v>500.3</v>
      </c>
      <c r="G32" s="11">
        <v>14</v>
      </c>
    </row>
    <row r="33" spans="1:7" x14ac:dyDescent="0.3">
      <c r="A33" s="11">
        <v>51</v>
      </c>
      <c r="B33" s="11" t="s">
        <v>117</v>
      </c>
      <c r="C33" s="11" t="s">
        <v>118</v>
      </c>
      <c r="D33" s="11" t="s">
        <v>11</v>
      </c>
      <c r="E33" s="11">
        <v>2018</v>
      </c>
      <c r="F33" s="11">
        <v>570.9</v>
      </c>
      <c r="G33" s="11">
        <v>10</v>
      </c>
    </row>
    <row r="34" spans="1:7" x14ac:dyDescent="0.3">
      <c r="A34" s="11">
        <v>25</v>
      </c>
      <c r="B34" s="11" t="s">
        <v>63</v>
      </c>
      <c r="C34" s="11" t="s">
        <v>64</v>
      </c>
      <c r="D34" s="11" t="s">
        <v>23</v>
      </c>
      <c r="E34" s="11">
        <v>2017</v>
      </c>
      <c r="F34" s="11">
        <v>360</v>
      </c>
      <c r="G34" s="11">
        <v>18</v>
      </c>
    </row>
    <row r="35" spans="1:7" x14ac:dyDescent="0.3">
      <c r="A35" s="11">
        <v>59</v>
      </c>
      <c r="B35" s="11" t="s">
        <v>133</v>
      </c>
      <c r="C35" s="11" t="s">
        <v>134</v>
      </c>
      <c r="D35" s="11" t="s">
        <v>26</v>
      </c>
      <c r="E35" s="11">
        <v>2020</v>
      </c>
      <c r="F35" s="11">
        <v>550.9</v>
      </c>
      <c r="G35" s="11">
        <v>9</v>
      </c>
    </row>
    <row r="36" spans="1:7" x14ac:dyDescent="0.3">
      <c r="A36" s="11">
        <v>6</v>
      </c>
      <c r="B36" s="11" t="s">
        <v>21</v>
      </c>
      <c r="C36" s="11" t="s">
        <v>22</v>
      </c>
      <c r="D36" s="11" t="s">
        <v>23</v>
      </c>
      <c r="E36" s="11">
        <v>2015</v>
      </c>
      <c r="F36" s="11">
        <v>280.39999999999998</v>
      </c>
      <c r="G36" s="11">
        <v>8</v>
      </c>
    </row>
    <row r="37" spans="1:7" x14ac:dyDescent="0.3">
      <c r="A37" s="11">
        <v>68</v>
      </c>
      <c r="B37" s="11" t="s">
        <v>151</v>
      </c>
      <c r="C37" s="11" t="s">
        <v>152</v>
      </c>
      <c r="D37" s="11" t="s">
        <v>14</v>
      </c>
      <c r="E37" s="11">
        <v>2021</v>
      </c>
      <c r="F37" s="11">
        <v>320</v>
      </c>
      <c r="G37" s="11">
        <v>21</v>
      </c>
    </row>
    <row r="38" spans="1:7" x14ac:dyDescent="0.3">
      <c r="A38" s="11">
        <v>27</v>
      </c>
      <c r="B38" s="11" t="s">
        <v>67</v>
      </c>
      <c r="C38" s="11" t="s">
        <v>68</v>
      </c>
      <c r="D38" s="11" t="s">
        <v>8</v>
      </c>
      <c r="E38" s="11">
        <v>2015</v>
      </c>
      <c r="F38" s="11">
        <v>340</v>
      </c>
      <c r="G38" s="11">
        <v>20</v>
      </c>
    </row>
    <row r="39" spans="1:7" x14ac:dyDescent="0.3">
      <c r="A39" s="11">
        <v>45</v>
      </c>
      <c r="B39" s="11" t="s">
        <v>105</v>
      </c>
      <c r="C39" s="11" t="s">
        <v>106</v>
      </c>
      <c r="D39" s="11" t="s">
        <v>54</v>
      </c>
      <c r="E39" s="11">
        <v>2019</v>
      </c>
      <c r="F39" s="11">
        <v>420</v>
      </c>
      <c r="G39" s="11">
        <v>15</v>
      </c>
    </row>
    <row r="40" spans="1:7" x14ac:dyDescent="0.3">
      <c r="A40" s="11">
        <v>103</v>
      </c>
      <c r="B40" s="11" t="s">
        <v>219</v>
      </c>
      <c r="C40" s="11" t="s">
        <v>220</v>
      </c>
      <c r="D40" s="11" t="s">
        <v>31</v>
      </c>
      <c r="E40" s="11">
        <v>2021</v>
      </c>
      <c r="F40" s="11">
        <v>510</v>
      </c>
      <c r="G40" s="11">
        <v>9</v>
      </c>
    </row>
    <row r="41" spans="1:7" x14ac:dyDescent="0.3">
      <c r="A41" s="11">
        <v>102</v>
      </c>
      <c r="B41" s="11" t="s">
        <v>217</v>
      </c>
      <c r="C41" s="11" t="s">
        <v>218</v>
      </c>
      <c r="D41" s="11" t="s">
        <v>14</v>
      </c>
      <c r="E41" s="11">
        <v>2020</v>
      </c>
      <c r="F41" s="11">
        <v>320.5</v>
      </c>
      <c r="G41" s="11">
        <v>23</v>
      </c>
    </row>
    <row r="42" spans="1:7" x14ac:dyDescent="0.3">
      <c r="A42" s="11">
        <v>47</v>
      </c>
      <c r="B42" s="11" t="s">
        <v>109</v>
      </c>
      <c r="C42" s="11" t="s">
        <v>110</v>
      </c>
      <c r="D42" s="11" t="s">
        <v>11</v>
      </c>
      <c r="E42" s="11">
        <v>2021</v>
      </c>
      <c r="F42" s="11">
        <v>680.75</v>
      </c>
      <c r="G42" s="11">
        <v>6</v>
      </c>
    </row>
    <row r="43" spans="1:7" x14ac:dyDescent="0.3">
      <c r="A43" s="11">
        <v>92</v>
      </c>
      <c r="B43" s="11" t="s">
        <v>198</v>
      </c>
      <c r="C43" s="11" t="s">
        <v>199</v>
      </c>
      <c r="D43" s="11" t="s">
        <v>14</v>
      </c>
      <c r="E43" s="11">
        <v>2022</v>
      </c>
      <c r="F43" s="11">
        <v>310</v>
      </c>
      <c r="G43" s="11">
        <v>18</v>
      </c>
    </row>
    <row r="44" spans="1:7" x14ac:dyDescent="0.3">
      <c r="A44" s="11">
        <v>46</v>
      </c>
      <c r="B44" s="11" t="s">
        <v>107</v>
      </c>
      <c r="C44" s="11" t="s">
        <v>108</v>
      </c>
      <c r="D44" s="11" t="s">
        <v>20</v>
      </c>
      <c r="E44" s="11">
        <v>2020</v>
      </c>
      <c r="F44" s="11">
        <v>550.29999999999995</v>
      </c>
      <c r="G44" s="11">
        <v>10</v>
      </c>
    </row>
    <row r="45" spans="1:7" x14ac:dyDescent="0.3">
      <c r="A45" s="11">
        <v>70</v>
      </c>
      <c r="B45" s="11" t="s">
        <v>155</v>
      </c>
      <c r="C45" s="11" t="s">
        <v>156</v>
      </c>
      <c r="D45" s="11" t="s">
        <v>11</v>
      </c>
      <c r="E45" s="11">
        <v>2020</v>
      </c>
      <c r="F45" s="11">
        <v>720</v>
      </c>
      <c r="G45" s="11">
        <v>8</v>
      </c>
    </row>
    <row r="46" spans="1:7" x14ac:dyDescent="0.3">
      <c r="A46" s="11">
        <v>35</v>
      </c>
      <c r="B46" s="11" t="s">
        <v>85</v>
      </c>
      <c r="C46" s="11" t="s">
        <v>86</v>
      </c>
      <c r="D46" s="11" t="s">
        <v>14</v>
      </c>
      <c r="E46" s="11">
        <v>2017</v>
      </c>
      <c r="F46" s="11">
        <v>330.75</v>
      </c>
      <c r="G46" s="11">
        <v>19</v>
      </c>
    </row>
    <row r="47" spans="1:7" x14ac:dyDescent="0.3">
      <c r="A47" s="11">
        <v>17</v>
      </c>
      <c r="B47" s="11" t="s">
        <v>46</v>
      </c>
      <c r="C47" s="11" t="s">
        <v>47</v>
      </c>
      <c r="D47" s="11" t="s">
        <v>8</v>
      </c>
      <c r="E47" s="11">
        <v>2021</v>
      </c>
      <c r="F47" s="11">
        <v>510.45</v>
      </c>
      <c r="G47" s="11">
        <v>8</v>
      </c>
    </row>
    <row r="48" spans="1:7" x14ac:dyDescent="0.3">
      <c r="A48" s="11">
        <v>5</v>
      </c>
      <c r="B48" s="11" t="s">
        <v>18</v>
      </c>
      <c r="C48" s="11" t="s">
        <v>19</v>
      </c>
      <c r="D48" s="11" t="s">
        <v>20</v>
      </c>
      <c r="E48" s="11">
        <v>2021</v>
      </c>
      <c r="F48" s="11">
        <v>520.75</v>
      </c>
      <c r="G48" s="11">
        <v>10</v>
      </c>
    </row>
    <row r="49" spans="1:7" x14ac:dyDescent="0.3">
      <c r="A49" s="11">
        <v>97</v>
      </c>
      <c r="B49" s="11" t="s">
        <v>207</v>
      </c>
      <c r="C49" s="11" t="s">
        <v>208</v>
      </c>
      <c r="D49" s="11" t="s">
        <v>20</v>
      </c>
      <c r="E49" s="11">
        <v>2021</v>
      </c>
      <c r="F49" s="11">
        <v>620</v>
      </c>
      <c r="G49" s="11">
        <v>7</v>
      </c>
    </row>
    <row r="50" spans="1:7" x14ac:dyDescent="0.3">
      <c r="A50" s="11">
        <v>28</v>
      </c>
      <c r="B50" s="11" t="s">
        <v>69</v>
      </c>
      <c r="C50" s="11" t="s">
        <v>70</v>
      </c>
      <c r="D50" s="11" t="s">
        <v>71</v>
      </c>
      <c r="E50" s="11">
        <v>2020</v>
      </c>
      <c r="F50" s="11">
        <v>420</v>
      </c>
      <c r="G50" s="11">
        <v>15</v>
      </c>
    </row>
    <row r="51" spans="1:7" x14ac:dyDescent="0.3">
      <c r="A51" s="11">
        <v>66</v>
      </c>
      <c r="B51" s="11" t="s">
        <v>147</v>
      </c>
      <c r="C51" s="11" t="s">
        <v>148</v>
      </c>
      <c r="D51" s="11" t="s">
        <v>11</v>
      </c>
      <c r="E51" s="11">
        <v>2019</v>
      </c>
      <c r="F51" s="11">
        <v>670.1</v>
      </c>
      <c r="G51" s="11">
        <v>6</v>
      </c>
    </row>
    <row r="52" spans="1:7" x14ac:dyDescent="0.3">
      <c r="A52" s="11">
        <v>36</v>
      </c>
      <c r="B52" s="11" t="s">
        <v>87</v>
      </c>
      <c r="C52" s="11" t="s">
        <v>88</v>
      </c>
      <c r="D52" s="11" t="s">
        <v>20</v>
      </c>
      <c r="E52" s="11">
        <v>2018</v>
      </c>
      <c r="F52" s="11">
        <v>470.1</v>
      </c>
      <c r="G52" s="11">
        <v>14</v>
      </c>
    </row>
    <row r="53" spans="1:7" x14ac:dyDescent="0.3">
      <c r="A53" s="11">
        <v>77</v>
      </c>
      <c r="B53" s="11" t="s">
        <v>169</v>
      </c>
      <c r="C53" s="11" t="s">
        <v>170</v>
      </c>
      <c r="D53" s="11" t="s">
        <v>31</v>
      </c>
      <c r="E53" s="11">
        <v>2018</v>
      </c>
      <c r="F53" s="11">
        <v>480.5</v>
      </c>
      <c r="G53" s="11">
        <v>16</v>
      </c>
    </row>
    <row r="54" spans="1:7" x14ac:dyDescent="0.3">
      <c r="A54" s="11">
        <v>80</v>
      </c>
      <c r="B54" s="11" t="s">
        <v>174</v>
      </c>
      <c r="C54" s="11" t="s">
        <v>175</v>
      </c>
      <c r="D54" s="11" t="s">
        <v>176</v>
      </c>
      <c r="E54" s="11">
        <v>2021</v>
      </c>
      <c r="F54" s="11">
        <v>610</v>
      </c>
      <c r="G54" s="11">
        <v>8</v>
      </c>
    </row>
    <row r="55" spans="1:7" x14ac:dyDescent="0.3">
      <c r="A55" s="11">
        <v>99</v>
      </c>
      <c r="B55" s="11" t="s">
        <v>211</v>
      </c>
      <c r="C55" s="11" t="s">
        <v>212</v>
      </c>
      <c r="D55" s="11" t="s">
        <v>20</v>
      </c>
      <c r="E55" s="11">
        <v>2020</v>
      </c>
      <c r="F55" s="11">
        <v>540</v>
      </c>
      <c r="G55" s="11">
        <v>9</v>
      </c>
    </row>
    <row r="56" spans="1:7" x14ac:dyDescent="0.3">
      <c r="A56" s="11">
        <v>74</v>
      </c>
      <c r="B56" s="11" t="s">
        <v>163</v>
      </c>
      <c r="C56" s="11" t="s">
        <v>164</v>
      </c>
      <c r="D56" s="11" t="s">
        <v>20</v>
      </c>
      <c r="E56" s="11">
        <v>2019</v>
      </c>
      <c r="F56" s="11">
        <v>490.1</v>
      </c>
      <c r="G56" s="11">
        <v>13</v>
      </c>
    </row>
    <row r="57" spans="1:7" x14ac:dyDescent="0.3">
      <c r="A57" s="11">
        <v>98</v>
      </c>
      <c r="B57" s="11" t="s">
        <v>209</v>
      </c>
      <c r="C57" s="11" t="s">
        <v>210</v>
      </c>
      <c r="D57" s="11" t="s">
        <v>11</v>
      </c>
      <c r="E57" s="11">
        <v>2022</v>
      </c>
      <c r="F57" s="11">
        <v>700.25</v>
      </c>
      <c r="G57" s="11">
        <v>8</v>
      </c>
    </row>
    <row r="58" spans="1:7" x14ac:dyDescent="0.3">
      <c r="A58" s="11">
        <v>89</v>
      </c>
      <c r="B58" s="11" t="s">
        <v>193</v>
      </c>
      <c r="C58" s="11" t="s">
        <v>45</v>
      </c>
      <c r="D58" s="11" t="s">
        <v>26</v>
      </c>
      <c r="E58" s="11">
        <v>2021</v>
      </c>
      <c r="F58" s="11">
        <v>610.4</v>
      </c>
      <c r="G58" s="11">
        <v>10</v>
      </c>
    </row>
    <row r="59" spans="1:7" x14ac:dyDescent="0.3">
      <c r="A59" s="11">
        <v>50</v>
      </c>
      <c r="B59" s="11" t="s">
        <v>115</v>
      </c>
      <c r="C59" s="11" t="s">
        <v>116</v>
      </c>
      <c r="D59" s="11" t="s">
        <v>26</v>
      </c>
      <c r="E59" s="11">
        <v>2022</v>
      </c>
      <c r="F59" s="11">
        <v>610.5</v>
      </c>
      <c r="G59" s="11">
        <v>7</v>
      </c>
    </row>
    <row r="60" spans="1:7" x14ac:dyDescent="0.3">
      <c r="A60" s="11">
        <v>67</v>
      </c>
      <c r="B60" s="11" t="s">
        <v>149</v>
      </c>
      <c r="C60" s="11" t="s">
        <v>150</v>
      </c>
      <c r="D60" s="11" t="s">
        <v>20</v>
      </c>
      <c r="E60" s="11">
        <v>2017</v>
      </c>
      <c r="F60" s="11">
        <v>450.9</v>
      </c>
      <c r="G60" s="11">
        <v>18</v>
      </c>
    </row>
    <row r="61" spans="1:7" x14ac:dyDescent="0.3">
      <c r="A61" s="11">
        <v>83</v>
      </c>
      <c r="B61" s="11" t="s">
        <v>181</v>
      </c>
      <c r="C61" s="11" t="s">
        <v>182</v>
      </c>
      <c r="D61" s="11" t="s">
        <v>20</v>
      </c>
      <c r="E61" s="11">
        <v>2020</v>
      </c>
      <c r="F61" s="11">
        <v>520.1</v>
      </c>
      <c r="G61" s="11">
        <v>9</v>
      </c>
    </row>
    <row r="62" spans="1:7" x14ac:dyDescent="0.3">
      <c r="A62" s="11">
        <v>101</v>
      </c>
      <c r="B62" s="11" t="s">
        <v>215</v>
      </c>
      <c r="C62" s="11" t="s">
        <v>216</v>
      </c>
      <c r="D62" s="11" t="s">
        <v>11</v>
      </c>
      <c r="E62" s="11">
        <v>2019</v>
      </c>
      <c r="F62" s="11">
        <v>680</v>
      </c>
      <c r="G62" s="11">
        <v>7</v>
      </c>
    </row>
    <row r="63" spans="1:7" x14ac:dyDescent="0.3">
      <c r="A63" s="11">
        <v>71</v>
      </c>
      <c r="B63" s="11" t="s">
        <v>157</v>
      </c>
      <c r="C63" s="11" t="s">
        <v>158</v>
      </c>
      <c r="D63" s="11" t="s">
        <v>31</v>
      </c>
      <c r="E63" s="11">
        <v>2022</v>
      </c>
      <c r="F63" s="11">
        <v>510.4</v>
      </c>
      <c r="G63" s="11">
        <v>9</v>
      </c>
    </row>
    <row r="64" spans="1:7" x14ac:dyDescent="0.3">
      <c r="A64" s="11">
        <v>9</v>
      </c>
      <c r="B64" s="11" t="s">
        <v>29</v>
      </c>
      <c r="C64" s="11" t="s">
        <v>30</v>
      </c>
      <c r="D64" s="11" t="s">
        <v>31</v>
      </c>
      <c r="E64" s="11">
        <v>2019</v>
      </c>
      <c r="F64" s="11">
        <v>540</v>
      </c>
      <c r="G64" s="11">
        <v>15</v>
      </c>
    </row>
    <row r="65" spans="1:7" x14ac:dyDescent="0.3">
      <c r="A65" s="11">
        <v>104</v>
      </c>
      <c r="B65" s="11" t="s">
        <v>221</v>
      </c>
      <c r="C65" s="11" t="s">
        <v>150</v>
      </c>
      <c r="D65" s="11" t="s">
        <v>20</v>
      </c>
      <c r="E65" s="11">
        <v>2022</v>
      </c>
      <c r="F65" s="11">
        <v>590.9</v>
      </c>
      <c r="G65" s="11">
        <v>8</v>
      </c>
    </row>
    <row r="66" spans="1:7" x14ac:dyDescent="0.3">
      <c r="A66" s="11">
        <v>44</v>
      </c>
      <c r="B66" s="11" t="s">
        <v>103</v>
      </c>
      <c r="C66" s="11" t="s">
        <v>104</v>
      </c>
      <c r="D66" s="11" t="s">
        <v>26</v>
      </c>
      <c r="E66" s="11">
        <v>2017</v>
      </c>
      <c r="F66" s="11">
        <v>360.9</v>
      </c>
      <c r="G66" s="11">
        <v>17</v>
      </c>
    </row>
    <row r="67" spans="1:7" x14ac:dyDescent="0.3">
      <c r="A67" s="11">
        <v>26</v>
      </c>
      <c r="B67" s="11" t="s">
        <v>65</v>
      </c>
      <c r="C67" s="11" t="s">
        <v>66</v>
      </c>
      <c r="D67" s="11" t="s">
        <v>20</v>
      </c>
      <c r="E67" s="11">
        <v>2019</v>
      </c>
      <c r="F67" s="11">
        <v>490.25</v>
      </c>
      <c r="G67" s="11">
        <v>10</v>
      </c>
    </row>
    <row r="68" spans="1:7" x14ac:dyDescent="0.3">
      <c r="A68" s="11">
        <v>38</v>
      </c>
      <c r="B68" s="11" t="s">
        <v>91</v>
      </c>
      <c r="C68" s="11" t="s">
        <v>92</v>
      </c>
      <c r="D68" s="11" t="s">
        <v>54</v>
      </c>
      <c r="E68" s="11">
        <v>2016</v>
      </c>
      <c r="F68" s="11">
        <v>400</v>
      </c>
      <c r="G68" s="11">
        <v>8</v>
      </c>
    </row>
    <row r="69" spans="1:7" x14ac:dyDescent="0.3">
      <c r="A69" s="11">
        <v>57</v>
      </c>
      <c r="B69" s="11" t="s">
        <v>129</v>
      </c>
      <c r="C69" s="11" t="s">
        <v>130</v>
      </c>
      <c r="D69" s="11" t="s">
        <v>31</v>
      </c>
      <c r="E69" s="11">
        <v>2017</v>
      </c>
      <c r="F69" s="11">
        <v>470.6</v>
      </c>
      <c r="G69" s="11">
        <v>18</v>
      </c>
    </row>
    <row r="70" spans="1:7" x14ac:dyDescent="0.3">
      <c r="A70" s="11">
        <v>76</v>
      </c>
      <c r="B70" s="11" t="s">
        <v>167</v>
      </c>
      <c r="C70" s="11" t="s">
        <v>168</v>
      </c>
      <c r="D70" s="11" t="s">
        <v>8</v>
      </c>
      <c r="E70" s="11">
        <v>2020</v>
      </c>
      <c r="F70" s="11">
        <v>420</v>
      </c>
      <c r="G70" s="11">
        <v>11</v>
      </c>
    </row>
    <row r="71" spans="1:7" x14ac:dyDescent="0.3">
      <c r="A71" s="11">
        <v>72</v>
      </c>
      <c r="B71" s="11" t="s">
        <v>159</v>
      </c>
      <c r="C71" s="11" t="s">
        <v>160</v>
      </c>
      <c r="D71" s="11" t="s">
        <v>17</v>
      </c>
      <c r="E71" s="11">
        <v>2016</v>
      </c>
      <c r="F71" s="11">
        <v>460.25</v>
      </c>
      <c r="G71" s="11">
        <v>15</v>
      </c>
    </row>
    <row r="72" spans="1:7" x14ac:dyDescent="0.3">
      <c r="A72" s="11">
        <v>39</v>
      </c>
      <c r="B72" s="11" t="s">
        <v>93</v>
      </c>
      <c r="C72" s="11" t="s">
        <v>94</v>
      </c>
      <c r="D72" s="11" t="s">
        <v>11</v>
      </c>
      <c r="E72" s="11">
        <v>2020</v>
      </c>
      <c r="F72" s="11">
        <v>640</v>
      </c>
      <c r="G72" s="11">
        <v>7</v>
      </c>
    </row>
    <row r="73" spans="1:7" x14ac:dyDescent="0.3">
      <c r="A73" s="11">
        <v>7</v>
      </c>
      <c r="B73" s="11" t="s">
        <v>24</v>
      </c>
      <c r="C73" s="11" t="s">
        <v>25</v>
      </c>
      <c r="D73" s="11" t="s">
        <v>26</v>
      </c>
      <c r="E73" s="11">
        <v>2022</v>
      </c>
      <c r="F73" s="11">
        <v>610</v>
      </c>
      <c r="G73" s="11">
        <v>7</v>
      </c>
    </row>
    <row r="74" spans="1:7" x14ac:dyDescent="0.3">
      <c r="A74" s="11">
        <v>95</v>
      </c>
      <c r="B74" s="11" t="s">
        <v>204</v>
      </c>
      <c r="C74" s="11" t="s">
        <v>16</v>
      </c>
      <c r="D74" s="11" t="s">
        <v>17</v>
      </c>
      <c r="E74" s="11">
        <v>2018</v>
      </c>
      <c r="F74" s="11">
        <v>480.25</v>
      </c>
      <c r="G74" s="11">
        <v>9</v>
      </c>
    </row>
    <row r="75" spans="1:7" x14ac:dyDescent="0.3">
      <c r="A75" s="11">
        <v>60</v>
      </c>
      <c r="B75" s="11" t="s">
        <v>135</v>
      </c>
      <c r="C75" s="11" t="s">
        <v>136</v>
      </c>
      <c r="D75" s="11" t="s">
        <v>31</v>
      </c>
      <c r="E75" s="11">
        <v>2019</v>
      </c>
      <c r="F75" s="11">
        <v>500.3</v>
      </c>
      <c r="G75" s="11">
        <v>14</v>
      </c>
    </row>
    <row r="76" spans="1:7" x14ac:dyDescent="0.3">
      <c r="A76" s="11">
        <v>31</v>
      </c>
      <c r="B76" s="11" t="s">
        <v>77</v>
      </c>
      <c r="C76" s="11" t="s">
        <v>78</v>
      </c>
      <c r="D76" s="11" t="s">
        <v>31</v>
      </c>
      <c r="E76" s="11">
        <v>2018</v>
      </c>
      <c r="F76" s="11">
        <v>480.6</v>
      </c>
      <c r="G76" s="11">
        <v>17</v>
      </c>
    </row>
    <row r="77" spans="1:7" x14ac:dyDescent="0.3">
      <c r="A77" s="11">
        <v>100</v>
      </c>
      <c r="B77" s="11" t="s">
        <v>213</v>
      </c>
      <c r="C77" s="11" t="s">
        <v>214</v>
      </c>
      <c r="D77" s="11" t="s">
        <v>31</v>
      </c>
      <c r="E77" s="11">
        <v>2018</v>
      </c>
      <c r="F77" s="11">
        <v>490.25</v>
      </c>
      <c r="G77" s="11">
        <v>14</v>
      </c>
    </row>
    <row r="78" spans="1:7" x14ac:dyDescent="0.3">
      <c r="A78" s="11">
        <v>94</v>
      </c>
      <c r="B78" s="11" t="s">
        <v>202</v>
      </c>
      <c r="C78" s="11" t="s">
        <v>203</v>
      </c>
      <c r="D78" s="11" t="s">
        <v>20</v>
      </c>
      <c r="E78" s="11">
        <v>2017</v>
      </c>
      <c r="F78" s="11">
        <v>530.1</v>
      </c>
      <c r="G78" s="11">
        <v>13</v>
      </c>
    </row>
    <row r="79" spans="1:7" x14ac:dyDescent="0.3">
      <c r="A79" s="11">
        <v>29</v>
      </c>
      <c r="B79" s="11" t="s">
        <v>72</v>
      </c>
      <c r="C79" s="11" t="s">
        <v>73</v>
      </c>
      <c r="D79" s="11" t="s">
        <v>74</v>
      </c>
      <c r="E79" s="11">
        <v>2021</v>
      </c>
      <c r="F79" s="11">
        <v>550.9</v>
      </c>
      <c r="G79" s="11">
        <v>6</v>
      </c>
    </row>
    <row r="80" spans="1:7" x14ac:dyDescent="0.3">
      <c r="A80" s="11">
        <v>49</v>
      </c>
      <c r="B80" s="11" t="s">
        <v>113</v>
      </c>
      <c r="C80" s="11" t="s">
        <v>114</v>
      </c>
      <c r="D80" s="11" t="s">
        <v>20</v>
      </c>
      <c r="E80" s="11">
        <v>2016</v>
      </c>
      <c r="F80" s="11">
        <v>440</v>
      </c>
      <c r="G80" s="11">
        <v>19</v>
      </c>
    </row>
    <row r="81" spans="1:7" x14ac:dyDescent="0.3">
      <c r="A81" s="11">
        <v>15</v>
      </c>
      <c r="B81" s="11" t="s">
        <v>42</v>
      </c>
      <c r="C81" s="11" t="s">
        <v>43</v>
      </c>
      <c r="D81" s="11" t="s">
        <v>20</v>
      </c>
      <c r="E81" s="11">
        <v>2022</v>
      </c>
      <c r="F81" s="11">
        <v>620.75</v>
      </c>
      <c r="G81" s="11">
        <v>6</v>
      </c>
    </row>
    <row r="82" spans="1:7" x14ac:dyDescent="0.3">
      <c r="A82" s="11">
        <v>23</v>
      </c>
      <c r="B82" s="11" t="s">
        <v>59</v>
      </c>
      <c r="C82" s="11" t="s">
        <v>60</v>
      </c>
      <c r="D82" s="11" t="s">
        <v>11</v>
      </c>
      <c r="E82" s="11">
        <v>2021</v>
      </c>
      <c r="F82" s="11">
        <v>650.75</v>
      </c>
      <c r="G82" s="11">
        <v>5</v>
      </c>
    </row>
    <row r="83" spans="1:7" x14ac:dyDescent="0.3">
      <c r="A83" s="11">
        <v>42</v>
      </c>
      <c r="B83" s="11" t="s">
        <v>99</v>
      </c>
      <c r="C83" s="11" t="s">
        <v>100</v>
      </c>
      <c r="D83" s="11" t="s">
        <v>31</v>
      </c>
      <c r="E83" s="11">
        <v>2020</v>
      </c>
      <c r="F83" s="11">
        <v>410</v>
      </c>
      <c r="G83" s="11">
        <v>11</v>
      </c>
    </row>
    <row r="84" spans="1:7" x14ac:dyDescent="0.3">
      <c r="A84" s="11">
        <v>86</v>
      </c>
      <c r="B84" s="11" t="s">
        <v>187</v>
      </c>
      <c r="C84" s="11" t="s">
        <v>188</v>
      </c>
      <c r="D84" s="11" t="s">
        <v>17</v>
      </c>
      <c r="E84" s="11">
        <v>2022</v>
      </c>
      <c r="F84" s="11">
        <v>490</v>
      </c>
      <c r="G84" s="11">
        <v>11</v>
      </c>
    </row>
    <row r="85" spans="1:7" x14ac:dyDescent="0.3">
      <c r="A85" s="11">
        <v>63</v>
      </c>
      <c r="B85" s="11" t="s">
        <v>141</v>
      </c>
      <c r="C85" s="11" t="s">
        <v>142</v>
      </c>
      <c r="D85" s="11" t="s">
        <v>20</v>
      </c>
      <c r="E85" s="11">
        <v>2020</v>
      </c>
      <c r="F85" s="11">
        <v>540.20000000000005</v>
      </c>
      <c r="G85" s="11">
        <v>12</v>
      </c>
    </row>
    <row r="86" spans="1:7" x14ac:dyDescent="0.3">
      <c r="A86" s="11">
        <v>34</v>
      </c>
      <c r="B86" s="11" t="s">
        <v>83</v>
      </c>
      <c r="C86" s="11" t="s">
        <v>84</v>
      </c>
      <c r="D86" s="11" t="s">
        <v>26</v>
      </c>
      <c r="E86" s="11">
        <v>2021</v>
      </c>
      <c r="F86" s="11">
        <v>590.5</v>
      </c>
      <c r="G86" s="11">
        <v>11</v>
      </c>
    </row>
    <row r="87" spans="1:7" x14ac:dyDescent="0.3">
      <c r="A87" s="11">
        <v>1</v>
      </c>
      <c r="B87" s="11" t="s">
        <v>6</v>
      </c>
      <c r="C87" s="11" t="s">
        <v>7</v>
      </c>
      <c r="D87" s="11" t="s">
        <v>8</v>
      </c>
      <c r="E87" s="11">
        <v>2018</v>
      </c>
      <c r="F87" s="11">
        <v>399.99</v>
      </c>
      <c r="G87" s="11">
        <v>12</v>
      </c>
    </row>
    <row r="88" spans="1:7" x14ac:dyDescent="0.3">
      <c r="A88" s="11">
        <v>96</v>
      </c>
      <c r="B88" s="11" t="s">
        <v>205</v>
      </c>
      <c r="C88" s="11" t="s">
        <v>206</v>
      </c>
      <c r="D88" s="11" t="s">
        <v>31</v>
      </c>
      <c r="E88" s="11">
        <v>2019</v>
      </c>
      <c r="F88" s="11">
        <v>510</v>
      </c>
      <c r="G88" s="11">
        <v>15</v>
      </c>
    </row>
    <row r="89" spans="1:7" x14ac:dyDescent="0.3">
      <c r="A89" s="11">
        <v>78</v>
      </c>
      <c r="B89" s="11" t="s">
        <v>171</v>
      </c>
      <c r="C89" s="11" t="s">
        <v>88</v>
      </c>
      <c r="D89" s="11" t="s">
        <v>20</v>
      </c>
      <c r="E89" s="11">
        <v>2019</v>
      </c>
      <c r="F89" s="11">
        <v>530.25</v>
      </c>
      <c r="G89" s="11">
        <v>10</v>
      </c>
    </row>
    <row r="90" spans="1:7" x14ac:dyDescent="0.3">
      <c r="A90" s="11">
        <v>12</v>
      </c>
      <c r="B90" s="11" t="s">
        <v>36</v>
      </c>
      <c r="C90" s="11" t="s">
        <v>37</v>
      </c>
      <c r="D90" s="11" t="s">
        <v>31</v>
      </c>
      <c r="E90" s="11">
        <v>2021</v>
      </c>
      <c r="F90" s="11">
        <v>499.99</v>
      </c>
      <c r="G90" s="11">
        <v>9</v>
      </c>
    </row>
    <row r="91" spans="1:7" x14ac:dyDescent="0.3">
      <c r="A91" s="11">
        <v>91</v>
      </c>
      <c r="B91" s="11" t="s">
        <v>196</v>
      </c>
      <c r="C91" s="11" t="s">
        <v>197</v>
      </c>
      <c r="D91" s="11" t="s">
        <v>8</v>
      </c>
      <c r="E91" s="11">
        <v>2020</v>
      </c>
      <c r="F91" s="11">
        <v>440.75</v>
      </c>
      <c r="G91" s="11">
        <v>16</v>
      </c>
    </row>
    <row r="92" spans="1:7" x14ac:dyDescent="0.3">
      <c r="A92" s="11">
        <v>14</v>
      </c>
      <c r="B92" s="11" t="s">
        <v>40</v>
      </c>
      <c r="C92" s="11" t="s">
        <v>41</v>
      </c>
      <c r="D92" s="11" t="s">
        <v>14</v>
      </c>
      <c r="E92" s="11">
        <v>2014</v>
      </c>
      <c r="F92" s="11">
        <v>250.5</v>
      </c>
      <c r="G92" s="11">
        <v>30</v>
      </c>
    </row>
    <row r="93" spans="1:7" x14ac:dyDescent="0.3">
      <c r="A93" s="11">
        <v>53</v>
      </c>
      <c r="B93" s="11" t="s">
        <v>121</v>
      </c>
      <c r="C93" s="11" t="s">
        <v>122</v>
      </c>
      <c r="D93" s="11" t="s">
        <v>20</v>
      </c>
      <c r="E93" s="11">
        <v>2020</v>
      </c>
      <c r="F93" s="11">
        <v>460.5</v>
      </c>
      <c r="G93" s="11">
        <v>12</v>
      </c>
    </row>
    <row r="94" spans="1:7" x14ac:dyDescent="0.3">
      <c r="A94" s="11">
        <v>30</v>
      </c>
      <c r="B94" s="11" t="s">
        <v>75</v>
      </c>
      <c r="C94" s="11" t="s">
        <v>76</v>
      </c>
      <c r="D94" s="11" t="s">
        <v>17</v>
      </c>
      <c r="E94" s="11">
        <v>2016</v>
      </c>
      <c r="F94" s="11">
        <v>460.25</v>
      </c>
      <c r="G94" s="11">
        <v>13</v>
      </c>
    </row>
    <row r="95" spans="1:7" x14ac:dyDescent="0.3">
      <c r="A95" s="11">
        <v>13</v>
      </c>
      <c r="B95" s="11" t="s">
        <v>38</v>
      </c>
      <c r="C95" s="11" t="s">
        <v>39</v>
      </c>
      <c r="D95" s="11" t="s">
        <v>11</v>
      </c>
      <c r="E95" s="11">
        <v>2019</v>
      </c>
      <c r="F95" s="11">
        <v>420.3</v>
      </c>
      <c r="G95" s="11">
        <v>16</v>
      </c>
    </row>
    <row r="96" spans="1:7" x14ac:dyDescent="0.3">
      <c r="A96" s="11">
        <v>21</v>
      </c>
      <c r="B96" s="11" t="s">
        <v>55</v>
      </c>
      <c r="C96" s="11" t="s">
        <v>56</v>
      </c>
      <c r="D96" s="11" t="s">
        <v>31</v>
      </c>
      <c r="E96" s="11">
        <v>2020</v>
      </c>
      <c r="F96" s="11">
        <v>470.2</v>
      </c>
      <c r="G96" s="11">
        <v>7</v>
      </c>
    </row>
    <row r="97" spans="1:7" x14ac:dyDescent="0.3">
      <c r="A97" s="11">
        <v>81</v>
      </c>
      <c r="B97" s="11" t="s">
        <v>177</v>
      </c>
      <c r="C97" s="11" t="s">
        <v>178</v>
      </c>
      <c r="D97" s="11" t="s">
        <v>17</v>
      </c>
      <c r="E97" s="11">
        <v>2018</v>
      </c>
      <c r="F97" s="11">
        <v>470.25</v>
      </c>
      <c r="G97" s="11">
        <v>14</v>
      </c>
    </row>
    <row r="98" spans="1:7" x14ac:dyDescent="0.3">
      <c r="A98" s="11">
        <v>65</v>
      </c>
      <c r="B98" s="11" t="s">
        <v>145</v>
      </c>
      <c r="C98" s="11" t="s">
        <v>146</v>
      </c>
      <c r="D98" s="11" t="s">
        <v>17</v>
      </c>
      <c r="E98" s="11">
        <v>2018</v>
      </c>
      <c r="F98" s="11">
        <v>480.25</v>
      </c>
      <c r="G98" s="11">
        <v>13</v>
      </c>
    </row>
    <row r="99" spans="1:7" x14ac:dyDescent="0.3">
      <c r="A99" s="11">
        <v>20</v>
      </c>
      <c r="B99" s="11" t="s">
        <v>52</v>
      </c>
      <c r="C99" s="11" t="s">
        <v>53</v>
      </c>
      <c r="D99" s="11" t="s">
        <v>54</v>
      </c>
      <c r="E99" s="11">
        <v>2018</v>
      </c>
      <c r="F99" s="11">
        <v>390</v>
      </c>
      <c r="G99" s="11">
        <v>12</v>
      </c>
    </row>
    <row r="100" spans="1:7" x14ac:dyDescent="0.3">
      <c r="A100" s="11">
        <v>55</v>
      </c>
      <c r="B100" s="11" t="s">
        <v>125</v>
      </c>
      <c r="C100" s="11" t="s">
        <v>126</v>
      </c>
      <c r="D100" s="11" t="s">
        <v>54</v>
      </c>
      <c r="E100" s="11">
        <v>2019</v>
      </c>
      <c r="F100" s="11">
        <v>410.1</v>
      </c>
      <c r="G100" s="11">
        <v>16</v>
      </c>
    </row>
    <row r="101" spans="1:7" x14ac:dyDescent="0.3">
      <c r="A101" s="11">
        <v>40</v>
      </c>
      <c r="B101" s="11" t="s">
        <v>95</v>
      </c>
      <c r="C101" s="11" t="s">
        <v>96</v>
      </c>
      <c r="D101" s="11" t="s">
        <v>14</v>
      </c>
      <c r="E101" s="11">
        <v>2018</v>
      </c>
      <c r="F101" s="11">
        <v>290</v>
      </c>
      <c r="G101" s="11">
        <v>23</v>
      </c>
    </row>
    <row r="102" spans="1:7" x14ac:dyDescent="0.3">
      <c r="A102" s="11">
        <v>82</v>
      </c>
      <c r="B102" s="11" t="s">
        <v>179</v>
      </c>
      <c r="C102" s="11" t="s">
        <v>180</v>
      </c>
      <c r="D102" s="11" t="s">
        <v>26</v>
      </c>
      <c r="E102" s="11">
        <v>2019</v>
      </c>
      <c r="F102" s="11">
        <v>400</v>
      </c>
      <c r="G102" s="11">
        <v>12</v>
      </c>
    </row>
    <row r="103" spans="1:7" x14ac:dyDescent="0.3">
      <c r="A103" s="11">
        <v>3</v>
      </c>
      <c r="B103" s="11" t="s">
        <v>12</v>
      </c>
      <c r="C103" s="11" t="s">
        <v>13</v>
      </c>
      <c r="D103" s="11" t="s">
        <v>14</v>
      </c>
      <c r="E103" s="11">
        <v>2016</v>
      </c>
      <c r="F103" s="11">
        <v>299</v>
      </c>
      <c r="G103" s="11">
        <v>20</v>
      </c>
    </row>
    <row r="104" spans="1:7" x14ac:dyDescent="0.3">
      <c r="A104" s="11">
        <v>43</v>
      </c>
      <c r="B104" s="11" t="s">
        <v>101</v>
      </c>
      <c r="C104" s="11" t="s">
        <v>102</v>
      </c>
      <c r="D104" s="11" t="s">
        <v>20</v>
      </c>
      <c r="E104" s="11">
        <v>2022</v>
      </c>
      <c r="F104" s="11">
        <v>590.25</v>
      </c>
      <c r="G104" s="11">
        <v>8</v>
      </c>
    </row>
    <row r="105" spans="1:7" x14ac:dyDescent="0.3">
      <c r="A105" s="11">
        <v>48</v>
      </c>
      <c r="B105" s="11" t="s">
        <v>111</v>
      </c>
      <c r="C105" s="11" t="s">
        <v>112</v>
      </c>
      <c r="D105" s="11" t="s">
        <v>17</v>
      </c>
      <c r="E105" s="11">
        <v>2018</v>
      </c>
      <c r="F105" s="11">
        <v>490.2</v>
      </c>
      <c r="G105" s="11">
        <v>13</v>
      </c>
    </row>
    <row r="106" spans="1:7" x14ac:dyDescent="0.3">
      <c r="A106" s="11">
        <v>90</v>
      </c>
      <c r="B106" s="11" t="s">
        <v>194</v>
      </c>
      <c r="C106" s="11" t="s">
        <v>195</v>
      </c>
      <c r="D106" s="11" t="s">
        <v>20</v>
      </c>
      <c r="E106" s="11">
        <v>2019</v>
      </c>
      <c r="F106" s="11">
        <v>520</v>
      </c>
      <c r="G106" s="11">
        <v>12</v>
      </c>
    </row>
    <row r="107" spans="1:7" x14ac:dyDescent="0.3">
      <c r="A107" s="11">
        <v>8</v>
      </c>
      <c r="B107" s="11" t="s">
        <v>27</v>
      </c>
      <c r="C107" s="11" t="s">
        <v>28</v>
      </c>
      <c r="D107" s="11" t="s">
        <v>20</v>
      </c>
      <c r="E107" s="11">
        <v>2017</v>
      </c>
      <c r="F107" s="11">
        <v>470.1</v>
      </c>
      <c r="G107" s="11">
        <v>18</v>
      </c>
    </row>
    <row r="109" spans="1:7" x14ac:dyDescent="0.3">
      <c r="A109" s="1" t="s">
        <v>0</v>
      </c>
      <c r="B109" s="2" t="s">
        <v>1</v>
      </c>
      <c r="C109" s="2" t="s">
        <v>2</v>
      </c>
      <c r="D109" s="2" t="s">
        <v>3</v>
      </c>
      <c r="E109" s="2" t="s">
        <v>4</v>
      </c>
      <c r="F109" s="2" t="s">
        <v>5</v>
      </c>
      <c r="G109" s="3" t="s">
        <v>224</v>
      </c>
    </row>
    <row r="110" spans="1:7" x14ac:dyDescent="0.3">
      <c r="A110" cm="1">
        <f t="array" ref="A110:G214">_xlfn._xlws.SORT(BOOKS_RECORDS5[],1,1,)</f>
        <v>1</v>
      </c>
      <c r="B110" t="str">
        <v>The Silent River</v>
      </c>
      <c r="C110" t="str">
        <v>Ava Thompson</v>
      </c>
      <c r="D110" t="str">
        <v>Mystery</v>
      </c>
      <c r="E110">
        <v>2018</v>
      </c>
      <c r="F110">
        <v>399.99</v>
      </c>
      <c r="G110">
        <v>12</v>
      </c>
    </row>
    <row r="111" spans="1:7" x14ac:dyDescent="0.3">
      <c r="A111">
        <v>2</v>
      </c>
      <c r="B111" t="str">
        <v>Echoes of Tomorrow</v>
      </c>
      <c r="C111" t="str">
        <v>Liam Carter</v>
      </c>
      <c r="D111" t="str">
        <v>Science Fiction</v>
      </c>
      <c r="E111">
        <v>2020</v>
      </c>
      <c r="F111">
        <v>499.5</v>
      </c>
      <c r="G111">
        <v>9</v>
      </c>
    </row>
    <row r="112" spans="1:7" x14ac:dyDescent="0.3">
      <c r="A112">
        <v>3</v>
      </c>
      <c r="B112" t="str">
        <v>Whispers in the Wind</v>
      </c>
      <c r="C112" t="str">
        <v>Sophia Bennett</v>
      </c>
      <c r="D112" t="str">
        <v>Romance</v>
      </c>
      <c r="E112">
        <v>2016</v>
      </c>
      <c r="F112">
        <v>299</v>
      </c>
      <c r="G112">
        <v>20</v>
      </c>
    </row>
    <row r="113" spans="1:7" x14ac:dyDescent="0.3">
      <c r="A113">
        <v>4</v>
      </c>
      <c r="B113" t="str">
        <v>Beneath the Crimson Sky</v>
      </c>
      <c r="C113" t="str">
        <v>Noah Brooks</v>
      </c>
      <c r="D113" t="str">
        <v>Historical Fiction</v>
      </c>
      <c r="E113">
        <v>2019</v>
      </c>
      <c r="F113">
        <v>450.25</v>
      </c>
      <c r="G113">
        <v>14</v>
      </c>
    </row>
    <row r="114" spans="1:7" x14ac:dyDescent="0.3">
      <c r="A114">
        <v>5</v>
      </c>
      <c r="B114" t="str">
        <v>Shadows of Eternity</v>
      </c>
      <c r="C114" t="str">
        <v>Emma Clark</v>
      </c>
      <c r="D114" t="str">
        <v>Fantasy</v>
      </c>
      <c r="E114">
        <v>2021</v>
      </c>
      <c r="F114">
        <v>520.75</v>
      </c>
      <c r="G114">
        <v>10</v>
      </c>
    </row>
    <row r="115" spans="1:7" x14ac:dyDescent="0.3">
      <c r="A115">
        <v>6</v>
      </c>
      <c r="B115" t="str">
        <v>Fragments of Light</v>
      </c>
      <c r="C115" t="str">
        <v>Ethan Hughes</v>
      </c>
      <c r="D115" t="str">
        <v>Drama</v>
      </c>
      <c r="E115">
        <v>2015</v>
      </c>
      <c r="F115">
        <v>280.39999999999998</v>
      </c>
      <c r="G115">
        <v>8</v>
      </c>
    </row>
    <row r="116" spans="1:7" x14ac:dyDescent="0.3">
      <c r="A116">
        <v>7</v>
      </c>
      <c r="B116" t="str">
        <v>The Iron Code</v>
      </c>
      <c r="C116" t="str">
        <v>Olivia Cooper</v>
      </c>
      <c r="D116" t="str">
        <v>Thriller</v>
      </c>
      <c r="E116">
        <v>2022</v>
      </c>
      <c r="F116">
        <v>610</v>
      </c>
      <c r="G116">
        <v>7</v>
      </c>
    </row>
    <row r="117" spans="1:7" x14ac:dyDescent="0.3">
      <c r="A117">
        <v>8</v>
      </c>
      <c r="B117" t="str">
        <v>Wings of Glass</v>
      </c>
      <c r="C117" t="str">
        <v>Isabella Reed</v>
      </c>
      <c r="D117" t="str">
        <v>Fantasy</v>
      </c>
      <c r="E117">
        <v>2017</v>
      </c>
      <c r="F117">
        <v>470.1</v>
      </c>
      <c r="G117">
        <v>18</v>
      </c>
    </row>
    <row r="118" spans="1:7" x14ac:dyDescent="0.3">
      <c r="A118">
        <v>9</v>
      </c>
      <c r="B118" t="str">
        <v>The Forgotten Realm</v>
      </c>
      <c r="C118" t="str">
        <v>Mason Adams</v>
      </c>
      <c r="D118" t="str">
        <v>Adventure</v>
      </c>
      <c r="E118">
        <v>2019</v>
      </c>
      <c r="F118">
        <v>540</v>
      </c>
      <c r="G118">
        <v>15</v>
      </c>
    </row>
    <row r="119" spans="1:7" x14ac:dyDescent="0.3">
      <c r="A119">
        <v>10</v>
      </c>
      <c r="B119" t="str">
        <v>Chronicles of Dawn</v>
      </c>
      <c r="C119" t="str">
        <v>Charlotte Evans</v>
      </c>
      <c r="D119" t="str">
        <v>Fantasy</v>
      </c>
      <c r="E119">
        <v>2018</v>
      </c>
      <c r="F119">
        <v>320.75</v>
      </c>
      <c r="G119">
        <v>25</v>
      </c>
    </row>
    <row r="120" spans="1:7" x14ac:dyDescent="0.3">
      <c r="A120">
        <v>11</v>
      </c>
      <c r="B120" t="str">
        <v>City of Broken Dreams</v>
      </c>
      <c r="C120" t="str">
        <v>James Lewis</v>
      </c>
      <c r="D120" t="str">
        <v>Drama</v>
      </c>
      <c r="E120">
        <v>2020</v>
      </c>
      <c r="F120">
        <v>350</v>
      </c>
      <c r="G120">
        <v>11</v>
      </c>
    </row>
    <row r="121" spans="1:7" x14ac:dyDescent="0.3">
      <c r="A121">
        <v>12</v>
      </c>
      <c r="B121" t="str">
        <v>The Stolen Horizon</v>
      </c>
      <c r="C121" t="str">
        <v>Mia Turner</v>
      </c>
      <c r="D121" t="str">
        <v>Adventure</v>
      </c>
      <c r="E121">
        <v>2021</v>
      </c>
      <c r="F121">
        <v>499.99</v>
      </c>
      <c r="G121">
        <v>9</v>
      </c>
    </row>
    <row r="122" spans="1:7" x14ac:dyDescent="0.3">
      <c r="A122">
        <v>13</v>
      </c>
      <c r="B122" t="str">
        <v>Through the Last Gate</v>
      </c>
      <c r="C122" t="str">
        <v>Benjamin Price</v>
      </c>
      <c r="D122" t="str">
        <v>Science Fiction</v>
      </c>
      <c r="E122">
        <v>2019</v>
      </c>
      <c r="F122">
        <v>420.3</v>
      </c>
      <c r="G122">
        <v>16</v>
      </c>
    </row>
    <row r="123" spans="1:7" x14ac:dyDescent="0.3">
      <c r="A123">
        <v>14</v>
      </c>
      <c r="B123" t="str">
        <v>The Violet Garden</v>
      </c>
      <c r="C123" t="str">
        <v>Amelia Green</v>
      </c>
      <c r="D123" t="str">
        <v>Romance</v>
      </c>
      <c r="E123">
        <v>2014</v>
      </c>
      <c r="F123">
        <v>250.5</v>
      </c>
      <c r="G123">
        <v>30</v>
      </c>
    </row>
    <row r="124" spans="1:7" x14ac:dyDescent="0.3">
      <c r="A124">
        <v>15</v>
      </c>
      <c r="B124" t="str">
        <v>The Painted Mirror</v>
      </c>
      <c r="C124" t="str">
        <v>Logan Ward</v>
      </c>
      <c r="D124" t="str">
        <v>Fantasy</v>
      </c>
      <c r="E124">
        <v>2022</v>
      </c>
      <c r="F124">
        <v>620.75</v>
      </c>
      <c r="G124">
        <v>6</v>
      </c>
    </row>
    <row r="125" spans="1:7" x14ac:dyDescent="0.3">
      <c r="A125">
        <v>16</v>
      </c>
      <c r="B125" t="str">
        <v>Edge of Nowhere</v>
      </c>
      <c r="C125" t="str">
        <v>Ella Mitchell</v>
      </c>
      <c r="D125" t="str">
        <v>Thriller</v>
      </c>
      <c r="E125">
        <v>2017</v>
      </c>
      <c r="F125">
        <v>380.9</v>
      </c>
      <c r="G125">
        <v>19</v>
      </c>
    </row>
    <row r="126" spans="1:7" x14ac:dyDescent="0.3">
      <c r="A126">
        <v>17</v>
      </c>
      <c r="B126" t="str">
        <v>Secrets of the Labyrinth</v>
      </c>
      <c r="C126" t="str">
        <v>Lucas Hill</v>
      </c>
      <c r="D126" t="str">
        <v>Mystery</v>
      </c>
      <c r="E126">
        <v>2021</v>
      </c>
      <c r="F126">
        <v>510.45</v>
      </c>
      <c r="G126">
        <v>8</v>
      </c>
    </row>
    <row r="127" spans="1:7" x14ac:dyDescent="0.3">
      <c r="A127">
        <v>18</v>
      </c>
      <c r="B127" t="str">
        <v>Ashes of the Empire</v>
      </c>
      <c r="C127" t="str">
        <v>Harper Scott</v>
      </c>
      <c r="D127" t="str">
        <v>Historical Fiction</v>
      </c>
      <c r="E127">
        <v>2016</v>
      </c>
      <c r="F127">
        <v>450</v>
      </c>
      <c r="G127">
        <v>14</v>
      </c>
    </row>
    <row r="128" spans="1:7" x14ac:dyDescent="0.3">
      <c r="A128">
        <v>19</v>
      </c>
      <c r="B128" t="str">
        <v>Dreamcatcher’s Oath</v>
      </c>
      <c r="C128" t="str">
        <v>Henry Morgan</v>
      </c>
      <c r="D128" t="str">
        <v>Fantasy</v>
      </c>
      <c r="E128">
        <v>2019</v>
      </c>
      <c r="F128">
        <v>560.5</v>
      </c>
      <c r="G128">
        <v>10</v>
      </c>
    </row>
    <row r="129" spans="1:7" x14ac:dyDescent="0.3">
      <c r="A129">
        <v>20</v>
      </c>
      <c r="B129" t="str">
        <v>Voices from the Deep</v>
      </c>
      <c r="C129" t="str">
        <v>Evelyn James</v>
      </c>
      <c r="D129" t="str">
        <v>Horror</v>
      </c>
      <c r="E129">
        <v>2018</v>
      </c>
      <c r="F129">
        <v>390</v>
      </c>
      <c r="G129">
        <v>12</v>
      </c>
    </row>
    <row r="130" spans="1:7" x14ac:dyDescent="0.3">
      <c r="A130">
        <v>21</v>
      </c>
      <c r="B130" t="str">
        <v>Tides of Destiny</v>
      </c>
      <c r="C130" t="str">
        <v>Michael Gray</v>
      </c>
      <c r="D130" t="str">
        <v>Adventure</v>
      </c>
      <c r="E130">
        <v>2020</v>
      </c>
      <c r="F130">
        <v>470.2</v>
      </c>
      <c r="G130">
        <v>7</v>
      </c>
    </row>
    <row r="131" spans="1:7" x14ac:dyDescent="0.3">
      <c r="A131">
        <v>22</v>
      </c>
      <c r="B131" t="str">
        <v>A Winter’s Promise</v>
      </c>
      <c r="C131" t="str">
        <v>Grace Collins</v>
      </c>
      <c r="D131" t="str">
        <v>Romance</v>
      </c>
      <c r="E131">
        <v>2019</v>
      </c>
      <c r="F131">
        <v>320</v>
      </c>
      <c r="G131">
        <v>22</v>
      </c>
    </row>
    <row r="132" spans="1:7" x14ac:dyDescent="0.3">
      <c r="A132">
        <v>23</v>
      </c>
      <c r="B132" t="str">
        <v>The Quantum Paradox</v>
      </c>
      <c r="C132" t="str">
        <v>Jack Richardson</v>
      </c>
      <c r="D132" t="str">
        <v>Science Fiction</v>
      </c>
      <c r="E132">
        <v>2021</v>
      </c>
      <c r="F132">
        <v>650.75</v>
      </c>
      <c r="G132">
        <v>5</v>
      </c>
    </row>
    <row r="133" spans="1:7" x14ac:dyDescent="0.3">
      <c r="A133">
        <v>24</v>
      </c>
      <c r="B133" t="str">
        <v>Beneath the Ice</v>
      </c>
      <c r="C133" t="str">
        <v>Scarlett Ward</v>
      </c>
      <c r="D133" t="str">
        <v>Thriller</v>
      </c>
      <c r="E133">
        <v>2018</v>
      </c>
      <c r="F133">
        <v>410.9</v>
      </c>
      <c r="G133">
        <v>13</v>
      </c>
    </row>
    <row r="134" spans="1:7" x14ac:dyDescent="0.3">
      <c r="A134">
        <v>25</v>
      </c>
      <c r="B134" t="str">
        <v>Fires of Redemption</v>
      </c>
      <c r="C134" t="str">
        <v>Daniel Perry</v>
      </c>
      <c r="D134" t="str">
        <v>Drama</v>
      </c>
      <c r="E134">
        <v>2017</v>
      </c>
      <c r="F134">
        <v>360</v>
      </c>
      <c r="G134">
        <v>18</v>
      </c>
    </row>
    <row r="135" spans="1:7" x14ac:dyDescent="0.3">
      <c r="A135">
        <v>26</v>
      </c>
      <c r="B135" t="str">
        <v>The Golden Compass</v>
      </c>
      <c r="C135" t="str">
        <v>Ella Foster</v>
      </c>
      <c r="D135" t="str">
        <v>Fantasy</v>
      </c>
      <c r="E135">
        <v>2019</v>
      </c>
      <c r="F135">
        <v>490.25</v>
      </c>
      <c r="G135">
        <v>10</v>
      </c>
    </row>
    <row r="136" spans="1:7" x14ac:dyDescent="0.3">
      <c r="A136">
        <v>27</v>
      </c>
      <c r="B136" t="str">
        <v>House of Secrets</v>
      </c>
      <c r="C136" t="str">
        <v>Matthew Reed</v>
      </c>
      <c r="D136" t="str">
        <v>Mystery</v>
      </c>
      <c r="E136">
        <v>2015</v>
      </c>
      <c r="F136">
        <v>340</v>
      </c>
      <c r="G136">
        <v>20</v>
      </c>
    </row>
    <row r="137" spans="1:7" x14ac:dyDescent="0.3">
      <c r="A137">
        <v>28</v>
      </c>
      <c r="B137" t="str">
        <v>Shattered Reflections</v>
      </c>
      <c r="C137" t="str">
        <v>Abigail Gray</v>
      </c>
      <c r="D137" t="str">
        <v>Psychological Fiction</v>
      </c>
      <c r="E137">
        <v>2020</v>
      </c>
      <c r="F137">
        <v>420</v>
      </c>
      <c r="G137">
        <v>15</v>
      </c>
    </row>
    <row r="138" spans="1:7" x14ac:dyDescent="0.3">
      <c r="A138">
        <v>29</v>
      </c>
      <c r="B138" t="str">
        <v>The Neon Horizon</v>
      </c>
      <c r="C138" t="str">
        <v>Joseph Adams</v>
      </c>
      <c r="D138" t="str">
        <v>Cyberpunk</v>
      </c>
      <c r="E138">
        <v>2021</v>
      </c>
      <c r="F138">
        <v>550.9</v>
      </c>
      <c r="G138">
        <v>6</v>
      </c>
    </row>
    <row r="139" spans="1:7" x14ac:dyDescent="0.3">
      <c r="A139">
        <v>30</v>
      </c>
      <c r="B139" t="str">
        <v>The Winter’s Crown</v>
      </c>
      <c r="C139" t="str">
        <v>Victoria Hall</v>
      </c>
      <c r="D139" t="str">
        <v>Historical Fiction</v>
      </c>
      <c r="E139">
        <v>2016</v>
      </c>
      <c r="F139">
        <v>460.25</v>
      </c>
      <c r="G139">
        <v>13</v>
      </c>
    </row>
    <row r="140" spans="1:7" x14ac:dyDescent="0.3">
      <c r="A140">
        <v>31</v>
      </c>
      <c r="B140" t="str">
        <v>The Lost City</v>
      </c>
      <c r="C140" t="str">
        <v>Samuel Harris</v>
      </c>
      <c r="D140" t="str">
        <v>Adventure</v>
      </c>
      <c r="E140">
        <v>2018</v>
      </c>
      <c r="F140">
        <v>480.6</v>
      </c>
      <c r="G140">
        <v>17</v>
      </c>
    </row>
    <row r="141" spans="1:7" x14ac:dyDescent="0.3">
      <c r="A141">
        <v>32</v>
      </c>
      <c r="B141" t="str">
        <v>Echoes of the Past</v>
      </c>
      <c r="C141" t="str">
        <v>Lily Campbell</v>
      </c>
      <c r="D141" t="str">
        <v>Drama</v>
      </c>
      <c r="E141">
        <v>2019</v>
      </c>
      <c r="F141">
        <v>310</v>
      </c>
      <c r="G141">
        <v>25</v>
      </c>
    </row>
    <row r="142" spans="1:7" x14ac:dyDescent="0.3">
      <c r="A142">
        <v>33</v>
      </c>
      <c r="B142" t="str">
        <v>Beyond the Stars</v>
      </c>
      <c r="C142" t="str">
        <v>Owen Stewart</v>
      </c>
      <c r="D142" t="str">
        <v>Science Fiction</v>
      </c>
      <c r="E142">
        <v>2022</v>
      </c>
      <c r="F142">
        <v>720</v>
      </c>
      <c r="G142">
        <v>8</v>
      </c>
    </row>
    <row r="143" spans="1:7" x14ac:dyDescent="0.3">
      <c r="A143">
        <v>34</v>
      </c>
      <c r="B143" t="str">
        <v>The Silent Guardian</v>
      </c>
      <c r="C143" t="str">
        <v>Chloe Phillips</v>
      </c>
      <c r="D143" t="str">
        <v>Thriller</v>
      </c>
      <c r="E143">
        <v>2021</v>
      </c>
      <c r="F143">
        <v>590.5</v>
      </c>
      <c r="G143">
        <v>11</v>
      </c>
    </row>
    <row r="144" spans="1:7" x14ac:dyDescent="0.3">
      <c r="A144">
        <v>35</v>
      </c>
      <c r="B144" t="str">
        <v>River of Dreams</v>
      </c>
      <c r="C144" t="str">
        <v>Aiden Morris</v>
      </c>
      <c r="D144" t="str">
        <v>Romance</v>
      </c>
      <c r="E144">
        <v>2017</v>
      </c>
      <c r="F144">
        <v>330.75</v>
      </c>
      <c r="G144">
        <v>19</v>
      </c>
    </row>
    <row r="145" spans="1:7" x14ac:dyDescent="0.3">
      <c r="A145">
        <v>36</v>
      </c>
      <c r="B145" t="str">
        <v>The Broken Spell</v>
      </c>
      <c r="C145" t="str">
        <v>Sofia Jenkins</v>
      </c>
      <c r="D145" t="str">
        <v>Fantasy</v>
      </c>
      <c r="E145">
        <v>2018</v>
      </c>
      <c r="F145">
        <v>470.1</v>
      </c>
      <c r="G145">
        <v>14</v>
      </c>
    </row>
    <row r="146" spans="1:7" x14ac:dyDescent="0.3">
      <c r="A146">
        <v>37</v>
      </c>
      <c r="B146" t="str">
        <v>Cursed by Fire</v>
      </c>
      <c r="C146" t="str">
        <v>Jacob Carter</v>
      </c>
      <c r="D146" t="str">
        <v>Fantasy</v>
      </c>
      <c r="E146">
        <v>2019</v>
      </c>
      <c r="F146">
        <v>530.20000000000005</v>
      </c>
      <c r="G146">
        <v>10</v>
      </c>
    </row>
    <row r="147" spans="1:7" x14ac:dyDescent="0.3">
      <c r="A147">
        <v>38</v>
      </c>
      <c r="B147" t="str">
        <v>The Haunting of Willow Lake</v>
      </c>
      <c r="C147" t="str">
        <v>Layla Rogers</v>
      </c>
      <c r="D147" t="str">
        <v>Horror</v>
      </c>
      <c r="E147">
        <v>2016</v>
      </c>
      <c r="F147">
        <v>400</v>
      </c>
      <c r="G147">
        <v>8</v>
      </c>
    </row>
    <row r="148" spans="1:7" x14ac:dyDescent="0.3">
      <c r="A148">
        <v>39</v>
      </c>
      <c r="B148" t="str">
        <v>The Infinite Circle</v>
      </c>
      <c r="C148" t="str">
        <v>Ethan Howard</v>
      </c>
      <c r="D148" t="str">
        <v>Science Fiction</v>
      </c>
      <c r="E148">
        <v>2020</v>
      </c>
      <c r="F148">
        <v>640</v>
      </c>
      <c r="G148">
        <v>7</v>
      </c>
    </row>
    <row r="149" spans="1:7" x14ac:dyDescent="0.3">
      <c r="A149">
        <v>40</v>
      </c>
      <c r="B149" t="str">
        <v>When the Stars Fade</v>
      </c>
      <c r="C149" t="str">
        <v>Natalie Allen</v>
      </c>
      <c r="D149" t="str">
        <v>Romance</v>
      </c>
      <c r="E149">
        <v>2018</v>
      </c>
      <c r="F149">
        <v>290</v>
      </c>
      <c r="G149">
        <v>23</v>
      </c>
    </row>
    <row r="150" spans="1:7" x14ac:dyDescent="0.3">
      <c r="A150">
        <v>41</v>
      </c>
      <c r="B150" t="str">
        <v>Darkness Rising</v>
      </c>
      <c r="C150" t="str">
        <v>Isaac Turner</v>
      </c>
      <c r="D150" t="str">
        <v>Horror</v>
      </c>
      <c r="E150">
        <v>2019</v>
      </c>
      <c r="F150">
        <v>520.75</v>
      </c>
      <c r="G150">
        <v>9</v>
      </c>
    </row>
    <row r="151" spans="1:7" x14ac:dyDescent="0.3">
      <c r="A151">
        <v>42</v>
      </c>
      <c r="B151" t="str">
        <v>The Red Horizon</v>
      </c>
      <c r="C151" t="str">
        <v>Madison Young</v>
      </c>
      <c r="D151" t="str">
        <v>Adventure</v>
      </c>
      <c r="E151">
        <v>2020</v>
      </c>
      <c r="F151">
        <v>410</v>
      </c>
      <c r="G151">
        <v>11</v>
      </c>
    </row>
    <row r="152" spans="1:7" x14ac:dyDescent="0.3">
      <c r="A152">
        <v>43</v>
      </c>
      <c r="B152" t="str">
        <v>Whispers of the Forest</v>
      </c>
      <c r="C152" t="str">
        <v>Andrew Morris</v>
      </c>
      <c r="D152" t="str">
        <v>Fantasy</v>
      </c>
      <c r="E152">
        <v>2022</v>
      </c>
      <c r="F152">
        <v>590.25</v>
      </c>
      <c r="G152">
        <v>8</v>
      </c>
    </row>
    <row r="153" spans="1:7" x14ac:dyDescent="0.3">
      <c r="A153">
        <v>44</v>
      </c>
      <c r="B153" t="str">
        <v>The Glass Tower</v>
      </c>
      <c r="C153" t="str">
        <v>Avery Kelly</v>
      </c>
      <c r="D153" t="str">
        <v>Thriller</v>
      </c>
      <c r="E153">
        <v>2017</v>
      </c>
      <c r="F153">
        <v>360.9</v>
      </c>
      <c r="G153">
        <v>17</v>
      </c>
    </row>
    <row r="154" spans="1:7" x14ac:dyDescent="0.3">
      <c r="A154">
        <v>45</v>
      </c>
      <c r="B154" t="str">
        <v>Into the Abyss</v>
      </c>
      <c r="C154" t="str">
        <v>Ella Stewart</v>
      </c>
      <c r="D154" t="str">
        <v>Horror</v>
      </c>
      <c r="E154">
        <v>2019</v>
      </c>
      <c r="F154">
        <v>420</v>
      </c>
      <c r="G154">
        <v>15</v>
      </c>
    </row>
    <row r="155" spans="1:7" x14ac:dyDescent="0.3">
      <c r="A155">
        <v>46</v>
      </c>
      <c r="B155" t="str">
        <v>Rise of the Fallen</v>
      </c>
      <c r="C155" t="str">
        <v>David Morgan</v>
      </c>
      <c r="D155" t="str">
        <v>Fantasy</v>
      </c>
      <c r="E155">
        <v>2020</v>
      </c>
      <c r="F155">
        <v>550.29999999999995</v>
      </c>
      <c r="G155">
        <v>10</v>
      </c>
    </row>
    <row r="156" spans="1:7" x14ac:dyDescent="0.3">
      <c r="A156">
        <v>47</v>
      </c>
      <c r="B156" t="str">
        <v>Ocean of Time</v>
      </c>
      <c r="C156" t="str">
        <v>Amelia Hill</v>
      </c>
      <c r="D156" t="str">
        <v>Science Fiction</v>
      </c>
      <c r="E156">
        <v>2021</v>
      </c>
      <c r="F156">
        <v>680.75</v>
      </c>
      <c r="G156">
        <v>6</v>
      </c>
    </row>
    <row r="157" spans="1:7" x14ac:dyDescent="0.3">
      <c r="A157">
        <v>48</v>
      </c>
      <c r="B157" t="str">
        <v>Winds of the West</v>
      </c>
      <c r="C157" t="str">
        <v>Grace Adams</v>
      </c>
      <c r="D157" t="str">
        <v>Historical Fiction</v>
      </c>
      <c r="E157">
        <v>2018</v>
      </c>
      <c r="F157">
        <v>490.2</v>
      </c>
      <c r="G157">
        <v>13</v>
      </c>
    </row>
    <row r="158" spans="1:7" x14ac:dyDescent="0.3">
      <c r="A158">
        <v>49</v>
      </c>
      <c r="B158" t="str">
        <v>The Night Circus</v>
      </c>
      <c r="C158" t="str">
        <v>Arthur Hayes</v>
      </c>
      <c r="D158" t="str">
        <v>Fantasy</v>
      </c>
      <c r="E158">
        <v>2016</v>
      </c>
      <c r="F158">
        <v>440</v>
      </c>
      <c r="G158">
        <v>19</v>
      </c>
    </row>
    <row r="159" spans="1:7" x14ac:dyDescent="0.3">
      <c r="A159">
        <v>50</v>
      </c>
      <c r="B159" t="str">
        <v>The Edge of Shadows</v>
      </c>
      <c r="C159" t="str">
        <v>Mila Ross</v>
      </c>
      <c r="D159" t="str">
        <v>Thriller</v>
      </c>
      <c r="E159">
        <v>2022</v>
      </c>
      <c r="F159">
        <v>610.5</v>
      </c>
      <c r="G159">
        <v>7</v>
      </c>
    </row>
    <row r="160" spans="1:7" x14ac:dyDescent="0.3">
      <c r="A160">
        <v>51</v>
      </c>
      <c r="B160" t="str">
        <v>Falling Skies</v>
      </c>
      <c r="C160" t="str">
        <v>Carter Wright</v>
      </c>
      <c r="D160" t="str">
        <v>Science Fiction</v>
      </c>
      <c r="E160">
        <v>2018</v>
      </c>
      <c r="F160">
        <v>570.9</v>
      </c>
      <c r="G160">
        <v>10</v>
      </c>
    </row>
    <row r="161" spans="1:7" x14ac:dyDescent="0.3">
      <c r="A161">
        <v>52</v>
      </c>
      <c r="B161" t="str">
        <v>Echo Valley</v>
      </c>
      <c r="C161" t="str">
        <v>Zoe Campbell</v>
      </c>
      <c r="D161" t="str">
        <v>Drama</v>
      </c>
      <c r="E161">
        <v>2019</v>
      </c>
      <c r="F161">
        <v>310.25</v>
      </c>
      <c r="G161">
        <v>22</v>
      </c>
    </row>
    <row r="162" spans="1:7" x14ac:dyDescent="0.3">
      <c r="A162">
        <v>53</v>
      </c>
      <c r="B162" t="str">
        <v>The Wandering Soul</v>
      </c>
      <c r="C162" t="str">
        <v>Nathan Mitchell</v>
      </c>
      <c r="D162" t="str">
        <v>Fantasy</v>
      </c>
      <c r="E162">
        <v>2020</v>
      </c>
      <c r="F162">
        <v>460.5</v>
      </c>
      <c r="G162">
        <v>12</v>
      </c>
    </row>
    <row r="163" spans="1:7" x14ac:dyDescent="0.3">
      <c r="A163">
        <v>54</v>
      </c>
      <c r="B163" t="str">
        <v>Blood and Ashes</v>
      </c>
      <c r="C163" t="str">
        <v>Sienna Reed</v>
      </c>
      <c r="D163" t="str">
        <v>Historical Fiction</v>
      </c>
      <c r="E163">
        <v>2021</v>
      </c>
      <c r="F163">
        <v>490.75</v>
      </c>
      <c r="G163">
        <v>8</v>
      </c>
    </row>
    <row r="164" spans="1:7" x14ac:dyDescent="0.3">
      <c r="A164">
        <v>55</v>
      </c>
      <c r="B164" t="str">
        <v>Voices in the Dark</v>
      </c>
      <c r="C164" t="str">
        <v>Eli Parker</v>
      </c>
      <c r="D164" t="str">
        <v>Horror</v>
      </c>
      <c r="E164">
        <v>2019</v>
      </c>
      <c r="F164">
        <v>410.1</v>
      </c>
      <c r="G164">
        <v>16</v>
      </c>
    </row>
    <row r="165" spans="1:7" x14ac:dyDescent="0.3">
      <c r="A165">
        <v>56</v>
      </c>
      <c r="B165" t="str">
        <v>Broken Chains</v>
      </c>
      <c r="C165" t="str">
        <v>Ava Richardson</v>
      </c>
      <c r="D165" t="str">
        <v>Drama</v>
      </c>
      <c r="E165">
        <v>2020</v>
      </c>
      <c r="F165">
        <v>330</v>
      </c>
      <c r="G165">
        <v>20</v>
      </c>
    </row>
    <row r="166" spans="1:7" x14ac:dyDescent="0.3">
      <c r="A166">
        <v>57</v>
      </c>
      <c r="B166" t="str">
        <v>The Hidden Fortress</v>
      </c>
      <c r="C166" t="str">
        <v>Mason Bennett</v>
      </c>
      <c r="D166" t="str">
        <v>Adventure</v>
      </c>
      <c r="E166">
        <v>2017</v>
      </c>
      <c r="F166">
        <v>470.6</v>
      </c>
      <c r="G166">
        <v>18</v>
      </c>
    </row>
    <row r="167" spans="1:7" x14ac:dyDescent="0.3">
      <c r="A167">
        <v>58</v>
      </c>
      <c r="B167" t="str">
        <v>City of Smoke</v>
      </c>
      <c r="C167" t="str">
        <v>Ella Morris</v>
      </c>
      <c r="D167" t="str">
        <v>Fantasy</v>
      </c>
      <c r="E167">
        <v>2021</v>
      </c>
      <c r="F167">
        <v>590</v>
      </c>
      <c r="G167">
        <v>10</v>
      </c>
    </row>
    <row r="168" spans="1:7" x14ac:dyDescent="0.3">
      <c r="A168">
        <v>59</v>
      </c>
      <c r="B168" t="str">
        <v>Firestorm</v>
      </c>
      <c r="C168" t="str">
        <v>Daniel Collins</v>
      </c>
      <c r="D168" t="str">
        <v>Thriller</v>
      </c>
      <c r="E168">
        <v>2020</v>
      </c>
      <c r="F168">
        <v>550.9</v>
      </c>
      <c r="G168">
        <v>9</v>
      </c>
    </row>
    <row r="169" spans="1:7" x14ac:dyDescent="0.3">
      <c r="A169">
        <v>60</v>
      </c>
      <c r="B169" t="str">
        <v>The Last Odyssey</v>
      </c>
      <c r="C169" t="str">
        <v>Olivia Gray</v>
      </c>
      <c r="D169" t="str">
        <v>Adventure</v>
      </c>
      <c r="E169">
        <v>2019</v>
      </c>
      <c r="F169">
        <v>500.3</v>
      </c>
      <c r="G169">
        <v>14</v>
      </c>
    </row>
    <row r="170" spans="1:7" x14ac:dyDescent="0.3">
      <c r="A170">
        <v>61</v>
      </c>
      <c r="B170" t="str">
        <v>Beneath the Moon</v>
      </c>
      <c r="C170" t="str">
        <v>Liam Thompson</v>
      </c>
      <c r="D170" t="str">
        <v>Romance</v>
      </c>
      <c r="E170">
        <v>2018</v>
      </c>
      <c r="F170">
        <v>290</v>
      </c>
      <c r="G170">
        <v>25</v>
      </c>
    </row>
    <row r="171" spans="1:7" x14ac:dyDescent="0.3">
      <c r="A171">
        <v>62</v>
      </c>
      <c r="B171" t="str">
        <v>Dreams of Tomorrow</v>
      </c>
      <c r="C171" t="str">
        <v>Harper Adams</v>
      </c>
      <c r="D171" t="str">
        <v>Science Fiction</v>
      </c>
      <c r="E171">
        <v>2022</v>
      </c>
      <c r="F171">
        <v>690</v>
      </c>
      <c r="G171">
        <v>7</v>
      </c>
    </row>
    <row r="172" spans="1:7" x14ac:dyDescent="0.3">
      <c r="A172">
        <v>63</v>
      </c>
      <c r="B172" t="str">
        <v>The Secret Heir</v>
      </c>
      <c r="C172" t="str">
        <v>Sophia Carter</v>
      </c>
      <c r="D172" t="str">
        <v>Fantasy</v>
      </c>
      <c r="E172">
        <v>2020</v>
      </c>
      <c r="F172">
        <v>540.20000000000005</v>
      </c>
      <c r="G172">
        <v>12</v>
      </c>
    </row>
    <row r="173" spans="1:7" x14ac:dyDescent="0.3">
      <c r="A173">
        <v>64</v>
      </c>
      <c r="B173" t="str">
        <v>Crimson Winter</v>
      </c>
      <c r="C173" t="str">
        <v>Noah Scott</v>
      </c>
      <c r="D173" t="str">
        <v>Thriller</v>
      </c>
      <c r="E173">
        <v>2021</v>
      </c>
      <c r="F173">
        <v>610.5</v>
      </c>
      <c r="G173">
        <v>8</v>
      </c>
    </row>
    <row r="174" spans="1:7" x14ac:dyDescent="0.3">
      <c r="A174">
        <v>65</v>
      </c>
      <c r="B174" t="str">
        <v>Under the Scarlet Sky</v>
      </c>
      <c r="C174" t="str">
        <v>Mia Walker</v>
      </c>
      <c r="D174" t="str">
        <v>Historical Fiction</v>
      </c>
      <c r="E174">
        <v>2018</v>
      </c>
      <c r="F174">
        <v>480.25</v>
      </c>
      <c r="G174">
        <v>13</v>
      </c>
    </row>
    <row r="175" spans="1:7" x14ac:dyDescent="0.3">
      <c r="A175">
        <v>66</v>
      </c>
      <c r="B175" t="str">
        <v>Shattered Skies</v>
      </c>
      <c r="C175" t="str">
        <v>Benjamin Lewis</v>
      </c>
      <c r="D175" t="str">
        <v>Science Fiction</v>
      </c>
      <c r="E175">
        <v>2019</v>
      </c>
      <c r="F175">
        <v>670.1</v>
      </c>
      <c r="G175">
        <v>6</v>
      </c>
    </row>
    <row r="176" spans="1:7" x14ac:dyDescent="0.3">
      <c r="A176">
        <v>67</v>
      </c>
      <c r="B176" t="str">
        <v>The Emerald Flame</v>
      </c>
      <c r="C176" t="str">
        <v>Isabella Turner</v>
      </c>
      <c r="D176" t="str">
        <v>Fantasy</v>
      </c>
      <c r="E176">
        <v>2017</v>
      </c>
      <c r="F176">
        <v>450.9</v>
      </c>
      <c r="G176">
        <v>18</v>
      </c>
    </row>
    <row r="177" spans="1:7" x14ac:dyDescent="0.3">
      <c r="A177">
        <v>68</v>
      </c>
      <c r="B177" t="str">
        <v>Heart of Shadows</v>
      </c>
      <c r="C177" t="str">
        <v>Charlotte Morgan</v>
      </c>
      <c r="D177" t="str">
        <v>Romance</v>
      </c>
      <c r="E177">
        <v>2021</v>
      </c>
      <c r="F177">
        <v>320</v>
      </c>
      <c r="G177">
        <v>21</v>
      </c>
    </row>
    <row r="178" spans="1:7" x14ac:dyDescent="0.3">
      <c r="A178">
        <v>69</v>
      </c>
      <c r="B178" t="str">
        <v>Echo Chamber</v>
      </c>
      <c r="C178" t="str">
        <v>Ethan Evans</v>
      </c>
      <c r="D178" t="str">
        <v>Drama</v>
      </c>
      <c r="E178">
        <v>2019</v>
      </c>
      <c r="F178">
        <v>310.5</v>
      </c>
      <c r="G178">
        <v>17</v>
      </c>
    </row>
    <row r="179" spans="1:7" x14ac:dyDescent="0.3">
      <c r="A179">
        <v>70</v>
      </c>
      <c r="B179" t="str">
        <v>Rise of the Machines</v>
      </c>
      <c r="C179" t="str">
        <v>Jacob Perry</v>
      </c>
      <c r="D179" t="str">
        <v>Science Fiction</v>
      </c>
      <c r="E179">
        <v>2020</v>
      </c>
      <c r="F179">
        <v>720</v>
      </c>
      <c r="G179">
        <v>8</v>
      </c>
    </row>
    <row r="180" spans="1:7" x14ac:dyDescent="0.3">
      <c r="A180">
        <v>71</v>
      </c>
      <c r="B180" t="str">
        <v>The Forgotten Path</v>
      </c>
      <c r="C180" t="str">
        <v>Ava Gray</v>
      </c>
      <c r="D180" t="str">
        <v>Adventure</v>
      </c>
      <c r="E180">
        <v>2022</v>
      </c>
      <c r="F180">
        <v>510.4</v>
      </c>
      <c r="G180">
        <v>9</v>
      </c>
    </row>
    <row r="181" spans="1:7" x14ac:dyDescent="0.3">
      <c r="A181">
        <v>72</v>
      </c>
      <c r="B181" t="str">
        <v>The Hollow Crown</v>
      </c>
      <c r="C181" t="str">
        <v>Henry Bennett</v>
      </c>
      <c r="D181" t="str">
        <v>Historical Fiction</v>
      </c>
      <c r="E181">
        <v>2016</v>
      </c>
      <c r="F181">
        <v>460.25</v>
      </c>
      <c r="G181">
        <v>15</v>
      </c>
    </row>
    <row r="182" spans="1:7" x14ac:dyDescent="0.3">
      <c r="A182">
        <v>73</v>
      </c>
      <c r="B182" t="str">
        <v>Dark Waters</v>
      </c>
      <c r="C182" t="str">
        <v>Emma Scott</v>
      </c>
      <c r="D182" t="str">
        <v>Thriller</v>
      </c>
      <c r="E182">
        <v>2018</v>
      </c>
      <c r="F182">
        <v>380.75</v>
      </c>
      <c r="G182">
        <v>10</v>
      </c>
    </row>
    <row r="183" spans="1:7" x14ac:dyDescent="0.3">
      <c r="A183">
        <v>74</v>
      </c>
      <c r="B183" t="str">
        <v>The Crystal Kingdom</v>
      </c>
      <c r="C183" t="str">
        <v>Liam Cooper</v>
      </c>
      <c r="D183" t="str">
        <v>Fantasy</v>
      </c>
      <c r="E183">
        <v>2019</v>
      </c>
      <c r="F183">
        <v>490.1</v>
      </c>
      <c r="G183">
        <v>13</v>
      </c>
    </row>
    <row r="184" spans="1:7" x14ac:dyDescent="0.3">
      <c r="A184">
        <v>75</v>
      </c>
      <c r="B184" t="str">
        <v>A Song of Fireflies</v>
      </c>
      <c r="C184" t="str">
        <v>Grace Hughes</v>
      </c>
      <c r="D184" t="str">
        <v>Romance</v>
      </c>
      <c r="E184">
        <v>2017</v>
      </c>
      <c r="F184">
        <v>310</v>
      </c>
      <c r="G184">
        <v>75</v>
      </c>
    </row>
    <row r="185" spans="1:7" x14ac:dyDescent="0.3">
      <c r="A185">
        <v>76</v>
      </c>
      <c r="B185" t="str">
        <v>The Hidden Truth</v>
      </c>
      <c r="C185" t="str">
        <v>Lucas Allen</v>
      </c>
      <c r="D185" t="str">
        <v>Mystery</v>
      </c>
      <c r="E185">
        <v>2020</v>
      </c>
      <c r="F185">
        <v>420</v>
      </c>
      <c r="G185">
        <v>11</v>
      </c>
    </row>
    <row r="186" spans="1:7" x14ac:dyDescent="0.3">
      <c r="A186">
        <v>77</v>
      </c>
      <c r="B186" t="str">
        <v>The Burning Sky</v>
      </c>
      <c r="C186" t="str">
        <v>Mason Ross</v>
      </c>
      <c r="D186" t="str">
        <v>Adventure</v>
      </c>
      <c r="E186">
        <v>2018</v>
      </c>
      <c r="F186">
        <v>480.5</v>
      </c>
      <c r="G186">
        <v>16</v>
      </c>
    </row>
    <row r="187" spans="1:7" x14ac:dyDescent="0.3">
      <c r="A187">
        <v>78</v>
      </c>
      <c r="B187" t="str">
        <v>The Silver Wolf</v>
      </c>
      <c r="C187" t="str">
        <v>Sofia Jenkins</v>
      </c>
      <c r="D187" t="str">
        <v>Fantasy</v>
      </c>
      <c r="E187">
        <v>2019</v>
      </c>
      <c r="F187">
        <v>530.25</v>
      </c>
      <c r="G187">
        <v>10</v>
      </c>
    </row>
    <row r="188" spans="1:7" x14ac:dyDescent="0.3">
      <c r="A188">
        <v>79</v>
      </c>
      <c r="B188" t="str">
        <v>Echoes of Silence</v>
      </c>
      <c r="C188" t="str">
        <v>Nathan Turner</v>
      </c>
      <c r="D188" t="str">
        <v>Drama</v>
      </c>
      <c r="E188">
        <v>2020</v>
      </c>
      <c r="F188">
        <v>310.89999999999998</v>
      </c>
      <c r="G188">
        <v>22</v>
      </c>
    </row>
    <row r="189" spans="1:7" x14ac:dyDescent="0.3">
      <c r="A189">
        <v>80</v>
      </c>
      <c r="B189" t="str">
        <v>The Clockwork Heart</v>
      </c>
      <c r="C189" t="str">
        <v>Amelia Adams</v>
      </c>
      <c r="D189" t="str">
        <v>Steampunk</v>
      </c>
      <c r="E189">
        <v>2021</v>
      </c>
      <c r="F189">
        <v>610</v>
      </c>
      <c r="G189">
        <v>8</v>
      </c>
    </row>
    <row r="190" spans="1:7" x14ac:dyDescent="0.3">
      <c r="A190">
        <v>81</v>
      </c>
      <c r="B190" t="str">
        <v>Under the Midnight Sun</v>
      </c>
      <c r="C190" t="str">
        <v>Michael Brown</v>
      </c>
      <c r="D190" t="str">
        <v>Historical Fiction</v>
      </c>
      <c r="E190">
        <v>2018</v>
      </c>
      <c r="F190">
        <v>470.25</v>
      </c>
      <c r="G190">
        <v>14</v>
      </c>
    </row>
    <row r="191" spans="1:7" x14ac:dyDescent="0.3">
      <c r="A191">
        <v>82</v>
      </c>
      <c r="B191" t="str">
        <v>Whispering Shadows</v>
      </c>
      <c r="C191" t="str">
        <v>Avery Lewis</v>
      </c>
      <c r="D191" t="str">
        <v>Thriller</v>
      </c>
      <c r="E191">
        <v>2019</v>
      </c>
      <c r="F191">
        <v>400</v>
      </c>
      <c r="G191">
        <v>12</v>
      </c>
    </row>
    <row r="192" spans="1:7" x14ac:dyDescent="0.3">
      <c r="A192">
        <v>83</v>
      </c>
      <c r="B192" t="str">
        <v>The Eternal Flame</v>
      </c>
      <c r="C192" t="str">
        <v>Olivia Moore</v>
      </c>
      <c r="D192" t="str">
        <v>Fantasy</v>
      </c>
      <c r="E192">
        <v>2020</v>
      </c>
      <c r="F192">
        <v>520.1</v>
      </c>
      <c r="G192">
        <v>9</v>
      </c>
    </row>
    <row r="193" spans="1:7" x14ac:dyDescent="0.3">
      <c r="A193">
        <v>84</v>
      </c>
      <c r="B193" t="str">
        <v>City of Illusions</v>
      </c>
      <c r="C193" t="str">
        <v>James Ross</v>
      </c>
      <c r="D193" t="str">
        <v>Science Fiction</v>
      </c>
      <c r="E193">
        <v>2021</v>
      </c>
      <c r="F193">
        <v>680.9</v>
      </c>
      <c r="G193">
        <v>7</v>
      </c>
    </row>
    <row r="194" spans="1:7" x14ac:dyDescent="0.3">
      <c r="A194">
        <v>85</v>
      </c>
      <c r="B194" t="str">
        <v>Ashes and Embers</v>
      </c>
      <c r="C194" t="str">
        <v>Lily Thompson</v>
      </c>
      <c r="D194" t="str">
        <v>Drama</v>
      </c>
      <c r="E194">
        <v>2019</v>
      </c>
      <c r="F194">
        <v>320.25</v>
      </c>
      <c r="G194">
        <v>17</v>
      </c>
    </row>
    <row r="195" spans="1:7" x14ac:dyDescent="0.3">
      <c r="A195">
        <v>86</v>
      </c>
      <c r="B195" t="str">
        <v>The Scarlet Blade</v>
      </c>
      <c r="C195" t="str">
        <v>Benjamin Hughes</v>
      </c>
      <c r="D195" t="str">
        <v>Historical Fiction</v>
      </c>
      <c r="E195">
        <v>2022</v>
      </c>
      <c r="F195">
        <v>490</v>
      </c>
      <c r="G195">
        <v>11</v>
      </c>
    </row>
    <row r="196" spans="1:7" x14ac:dyDescent="0.3">
      <c r="A196">
        <v>87</v>
      </c>
      <c r="B196" t="str">
        <v>Dawn of the Phoenix</v>
      </c>
      <c r="C196" t="str">
        <v>Chloe Ward</v>
      </c>
      <c r="D196" t="str">
        <v>Fantasy</v>
      </c>
      <c r="E196">
        <v>2018</v>
      </c>
      <c r="F196">
        <v>560.75</v>
      </c>
      <c r="G196">
        <v>9</v>
      </c>
    </row>
    <row r="197" spans="1:7" x14ac:dyDescent="0.3">
      <c r="A197">
        <v>88</v>
      </c>
      <c r="B197" t="str">
        <v>Fallen Kingdom</v>
      </c>
      <c r="C197" t="str">
        <v>Logan Parker</v>
      </c>
      <c r="D197" t="str">
        <v>Adventure</v>
      </c>
      <c r="E197">
        <v>2020</v>
      </c>
      <c r="F197">
        <v>500.3</v>
      </c>
      <c r="G197">
        <v>14</v>
      </c>
    </row>
    <row r="198" spans="1:7" x14ac:dyDescent="0.3">
      <c r="A198">
        <v>89</v>
      </c>
      <c r="B198" t="str">
        <v>The Darkened Path</v>
      </c>
      <c r="C198" t="str">
        <v>Ella Mitchell</v>
      </c>
      <c r="D198" t="str">
        <v>Thriller</v>
      </c>
      <c r="E198">
        <v>2021</v>
      </c>
      <c r="F198">
        <v>610.4</v>
      </c>
      <c r="G198">
        <v>10</v>
      </c>
    </row>
    <row r="199" spans="1:7" x14ac:dyDescent="0.3">
      <c r="A199">
        <v>90</v>
      </c>
      <c r="B199" t="str">
        <v>Winds of Time</v>
      </c>
      <c r="C199" t="str">
        <v>Ava Scott</v>
      </c>
      <c r="D199" t="str">
        <v>Fantasy</v>
      </c>
      <c r="E199">
        <v>2019</v>
      </c>
      <c r="F199">
        <v>520</v>
      </c>
      <c r="G199">
        <v>12</v>
      </c>
    </row>
    <row r="200" spans="1:7" x14ac:dyDescent="0.3">
      <c r="A200">
        <v>91</v>
      </c>
      <c r="B200" t="str">
        <v>The Vanishing Point</v>
      </c>
      <c r="C200" t="str">
        <v>Daniel Ross</v>
      </c>
      <c r="D200" t="str">
        <v>Mystery</v>
      </c>
      <c r="E200">
        <v>2020</v>
      </c>
      <c r="F200">
        <v>440.75</v>
      </c>
      <c r="G200">
        <v>16</v>
      </c>
    </row>
    <row r="201" spans="1:7" x14ac:dyDescent="0.3">
      <c r="A201">
        <v>92</v>
      </c>
      <c r="B201" t="str">
        <v>Ocean’s Whisper</v>
      </c>
      <c r="C201" t="str">
        <v>Mia Adams</v>
      </c>
      <c r="D201" t="str">
        <v>Romance</v>
      </c>
      <c r="E201">
        <v>2022</v>
      </c>
      <c r="F201">
        <v>310</v>
      </c>
      <c r="G201">
        <v>18</v>
      </c>
    </row>
    <row r="202" spans="1:7" x14ac:dyDescent="0.3">
      <c r="A202">
        <v>93</v>
      </c>
      <c r="B202" t="str">
        <v>Echo of the Storm</v>
      </c>
      <c r="C202" t="str">
        <v>Henry Carter</v>
      </c>
      <c r="D202" t="str">
        <v>Adventure</v>
      </c>
      <c r="E202">
        <v>2020</v>
      </c>
      <c r="F202">
        <v>470.25</v>
      </c>
      <c r="G202">
        <v>11</v>
      </c>
    </row>
    <row r="203" spans="1:7" x14ac:dyDescent="0.3">
      <c r="A203">
        <v>94</v>
      </c>
      <c r="B203" t="str">
        <v>The Lost Horizon</v>
      </c>
      <c r="C203" t="str">
        <v>Sophia Green</v>
      </c>
      <c r="D203" t="str">
        <v>Fantasy</v>
      </c>
      <c r="E203">
        <v>2017</v>
      </c>
      <c r="F203">
        <v>530.1</v>
      </c>
      <c r="G203">
        <v>13</v>
      </c>
    </row>
    <row r="204" spans="1:7" x14ac:dyDescent="0.3">
      <c r="A204">
        <v>95</v>
      </c>
      <c r="B204" t="str">
        <v>The Iron Throne</v>
      </c>
      <c r="C204" t="str">
        <v>Noah Brooks</v>
      </c>
      <c r="D204" t="str">
        <v>Historical Fiction</v>
      </c>
      <c r="E204">
        <v>2018</v>
      </c>
      <c r="F204">
        <v>480.25</v>
      </c>
      <c r="G204">
        <v>9</v>
      </c>
    </row>
    <row r="205" spans="1:7" x14ac:dyDescent="0.3">
      <c r="A205">
        <v>96</v>
      </c>
      <c r="B205" t="str">
        <v>The Silver Compass</v>
      </c>
      <c r="C205" t="str">
        <v>Emma Foster</v>
      </c>
      <c r="D205" t="str">
        <v>Adventure</v>
      </c>
      <c r="E205">
        <v>2019</v>
      </c>
      <c r="F205">
        <v>510</v>
      </c>
      <c r="G205">
        <v>15</v>
      </c>
    </row>
    <row r="206" spans="1:7" x14ac:dyDescent="0.3">
      <c r="A206">
        <v>97</v>
      </c>
      <c r="B206" t="str">
        <v>Shadows Over Avalon</v>
      </c>
      <c r="C206" t="str">
        <v>Benjamin Hill</v>
      </c>
      <c r="D206" t="str">
        <v>Fantasy</v>
      </c>
      <c r="E206">
        <v>2021</v>
      </c>
      <c r="F206">
        <v>620</v>
      </c>
      <c r="G206">
        <v>7</v>
      </c>
    </row>
    <row r="207" spans="1:7" x14ac:dyDescent="0.3">
      <c r="A207">
        <v>98</v>
      </c>
      <c r="B207" t="str">
        <v>The Dark Sun</v>
      </c>
      <c r="C207" t="str">
        <v>Aiden Lewis</v>
      </c>
      <c r="D207" t="str">
        <v>Science Fiction</v>
      </c>
      <c r="E207">
        <v>2022</v>
      </c>
      <c r="F207">
        <v>700.25</v>
      </c>
      <c r="G207">
        <v>8</v>
      </c>
    </row>
    <row r="208" spans="1:7" x14ac:dyDescent="0.3">
      <c r="A208">
        <v>99</v>
      </c>
      <c r="B208" t="str">
        <v>The Crimson Queen</v>
      </c>
      <c r="C208" t="str">
        <v>Grace Evans</v>
      </c>
      <c r="D208" t="str">
        <v>Fantasy</v>
      </c>
      <c r="E208">
        <v>2020</v>
      </c>
      <c r="F208">
        <v>540</v>
      </c>
      <c r="G208">
        <v>9</v>
      </c>
    </row>
    <row r="209" spans="1:7" x14ac:dyDescent="0.3">
      <c r="A209">
        <v>100</v>
      </c>
      <c r="B209" t="str">
        <v>The Lost Empire</v>
      </c>
      <c r="C209" t="str">
        <v>Liam Allen</v>
      </c>
      <c r="D209" t="str">
        <v>Adventure</v>
      </c>
      <c r="E209">
        <v>2018</v>
      </c>
      <c r="F209">
        <v>490.25</v>
      </c>
      <c r="G209">
        <v>14</v>
      </c>
    </row>
    <row r="210" spans="1:7" x14ac:dyDescent="0.3">
      <c r="A210">
        <v>101</v>
      </c>
      <c r="B210" t="str">
        <v>The Final Dawn</v>
      </c>
      <c r="C210" t="str">
        <v>Olivia Scott</v>
      </c>
      <c r="D210" t="str">
        <v>Science Fiction</v>
      </c>
      <c r="E210">
        <v>2019</v>
      </c>
      <c r="F210">
        <v>680</v>
      </c>
      <c r="G210">
        <v>7</v>
      </c>
    </row>
    <row r="211" spans="1:7" x14ac:dyDescent="0.3">
      <c r="A211">
        <v>102</v>
      </c>
      <c r="B211" t="str">
        <v>Moonlight Sonata</v>
      </c>
      <c r="C211" t="str">
        <v>Charlotte Adams</v>
      </c>
      <c r="D211" t="str">
        <v>Romance</v>
      </c>
      <c r="E211">
        <v>2020</v>
      </c>
      <c r="F211">
        <v>320.5</v>
      </c>
      <c r="G211">
        <v>23</v>
      </c>
    </row>
    <row r="212" spans="1:7" x14ac:dyDescent="0.3">
      <c r="A212">
        <v>103</v>
      </c>
      <c r="B212" t="str">
        <v>Journey to Oblivion</v>
      </c>
      <c r="C212" t="str">
        <v>Ethan Perry</v>
      </c>
      <c r="D212" t="str">
        <v>Adventure</v>
      </c>
      <c r="E212">
        <v>2021</v>
      </c>
      <c r="F212">
        <v>510</v>
      </c>
      <c r="G212">
        <v>9</v>
      </c>
    </row>
    <row r="213" spans="1:7" x14ac:dyDescent="0.3">
      <c r="A213">
        <v>104</v>
      </c>
      <c r="B213" t="str">
        <v>The Glass Kingdom</v>
      </c>
      <c r="C213" t="str">
        <v>Isabella Turner</v>
      </c>
      <c r="D213" t="str">
        <v>Fantasy</v>
      </c>
      <c r="E213">
        <v>2022</v>
      </c>
      <c r="F213">
        <v>590.9</v>
      </c>
      <c r="G213">
        <v>8</v>
      </c>
    </row>
    <row r="214" spans="1:7" x14ac:dyDescent="0.3">
      <c r="A214">
        <v>105</v>
      </c>
      <c r="B214" t="str">
        <v>Endless Sky</v>
      </c>
      <c r="C214" t="str">
        <v>Jacob Gray</v>
      </c>
      <c r="D214" t="str">
        <v>Science Fiction</v>
      </c>
      <c r="E214">
        <v>2020</v>
      </c>
      <c r="F214">
        <v>670</v>
      </c>
      <c r="G214">
        <v>7</v>
      </c>
    </row>
  </sheetData>
  <mergeCells count="1">
    <mergeCell ref="J1:P1"/>
  </mergeCells>
  <conditionalFormatting sqref="F2">
    <cfRule type="top10" dxfId="7" priority="10" bottom="1" rank="10"/>
    <cfRule type="top10" dxfId="6" priority="11" bottom="1" rank="10"/>
    <cfRule type="top10" dxfId="5" priority="12" percent="1" rank="10"/>
    <cfRule type="top10" dxfId="4" priority="13" rank="10"/>
  </conditionalFormatting>
  <conditionalFormatting sqref="F109">
    <cfRule type="top10" dxfId="3" priority="2" bottom="1" rank="10"/>
    <cfRule type="top10" dxfId="2" priority="3" bottom="1" rank="10"/>
    <cfRule type="top10" dxfId="1" priority="4" percent="1" rank="10"/>
    <cfRule type="top10" dxfId="0" priority="5" rank="10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D278659-59D2-4EB3-B3F6-B20DDDE75A5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BOOKS_RECORDS</vt:lpstr>
      <vt:lpstr>Advanced_Filter</vt:lpstr>
      <vt:lpstr>Sheet1</vt:lpstr>
      <vt:lpstr>Filter_Formula</vt:lpstr>
      <vt:lpstr>Advanced_Filter!Criteria</vt:lpstr>
      <vt:lpstr>Advanced_Filter!Extract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pateriya</dc:creator>
  <cp:lastModifiedBy>aayush pateriya</cp:lastModifiedBy>
  <dcterms:created xsi:type="dcterms:W3CDTF">2026-02-07T17:31:51Z</dcterms:created>
  <dcterms:modified xsi:type="dcterms:W3CDTF">2026-02-10T17:52:18Z</dcterms:modified>
</cp:coreProperties>
</file>