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bfc81b0e6ad29d4c/Desktop/EXCEL/EXCEL_2/"/>
    </mc:Choice>
  </mc:AlternateContent>
  <xr:revisionPtr revIDLastSave="791" documentId="14_{146531EE-6B9A-49ED-AD8D-EABE34FFB22A}" xr6:coauthVersionLast="47" xr6:coauthVersionMax="47" xr10:uidLastSave="{C12198C9-5498-45AC-BAA6-1203C8CC852E}"/>
  <bookViews>
    <workbookView xWindow="-108" yWindow="-108" windowWidth="23256" windowHeight="13176" activeTab="4" xr2:uid="{4D08D5CD-4D5F-4F6C-81EC-6D095950C272}"/>
  </bookViews>
  <sheets>
    <sheet name="PIVOT_TABLE_CHARTS" sheetId="2" r:id="rId1"/>
    <sheet name="SLICER" sheetId="3" r:id="rId2"/>
    <sheet name="sales_data_100_records (1)" sheetId="7" r:id="rId3"/>
    <sheet name="SLICER_SETTINGS" sheetId="6" r:id="rId4"/>
    <sheet name="TIMELINE" sheetId="9" r:id="rId5"/>
  </sheets>
  <definedNames>
    <definedName name="ExternalData_1" localSheetId="0" hidden="1">PIVOT_TABLE_CHARTS!$A$1:$J$31</definedName>
    <definedName name="ExternalData_1" localSheetId="2" hidden="1">'sales_data_100_records (1)'!$A$1:$J$101</definedName>
    <definedName name="NativeTimeline_Order_Date">#N/A</definedName>
    <definedName name="Slicer_Category">#N/A</definedName>
    <definedName name="Slicer_Category1">#N/A</definedName>
    <definedName name="Slicer_Product">#N/A</definedName>
    <definedName name="Slicer_Product1">#N/A</definedName>
    <definedName name="Slicer_Product2">#N/A</definedName>
    <definedName name="Slicer_Region">#N/A</definedName>
    <definedName name="Slicer_Region1">#N/A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2E364C-9D88-47BD-B7D5-81FC2D652470}"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2" xr16:uid="{D3E604BA-E789-4E91-B118-FD4566D5C362}" keepAlive="1" name="Query - Sales (2)" description="Connection to the 'Sales (2)' query in the workbook." type="5" refreshedVersion="8" background="1" saveData="1">
    <dbPr connection="Provider=Microsoft.Mashup.OleDb.1;Data Source=$Workbook$;Location=&quot;Sales (2)&quot;;Extended Properties=&quot;&quot;" command="SELECT * FROM [Sales (2)]"/>
  </connection>
  <connection id="3" xr16:uid="{CF1392C6-2279-445E-B2EC-80787D7CDA38}" keepAlive="1" name="Query - sales_data_100_records (1)" description="Connection to the 'sales_data_100_records (1)' query in the workbook." type="5" refreshedVersion="8" background="1" saveData="1">
    <dbPr connection="Provider=Microsoft.Mashup.OleDb.1;Data Source=$Workbook$;Location=&quot;sales_data_100_records (1)&quot;;Extended Properties=&quot;&quot;" command="SELECT * FROM [sales_data_100_records (1)]"/>
  </connection>
</connections>
</file>

<file path=xl/sharedStrings.xml><?xml version="1.0" encoding="utf-8"?>
<sst xmlns="http://schemas.openxmlformats.org/spreadsheetml/2006/main" count="793" uniqueCount="77">
  <si>
    <t>Date</t>
  </si>
  <si>
    <t>Region</t>
  </si>
  <si>
    <t>City</t>
  </si>
  <si>
    <t>Salesperson</t>
  </si>
  <si>
    <t>Category</t>
  </si>
  <si>
    <t>Product</t>
  </si>
  <si>
    <t>Units Sold</t>
  </si>
  <si>
    <t>Unit Price</t>
  </si>
  <si>
    <t>Revenue</t>
  </si>
  <si>
    <t>Payment Mode</t>
  </si>
  <si>
    <t>North</t>
  </si>
  <si>
    <t>Delhi</t>
  </si>
  <si>
    <t>Amit</t>
  </si>
  <si>
    <t>Electronics</t>
  </si>
  <si>
    <t>Mobile</t>
  </si>
  <si>
    <t>UPI</t>
  </si>
  <si>
    <t>West</t>
  </si>
  <si>
    <t>Mumbai</t>
  </si>
  <si>
    <t>Riya</t>
  </si>
  <si>
    <t>Clothing</t>
  </si>
  <si>
    <t>T-Shirt</t>
  </si>
  <si>
    <t>Cash</t>
  </si>
  <si>
    <t>South</t>
  </si>
  <si>
    <t>Bangalore</t>
  </si>
  <si>
    <t>Arjun</t>
  </si>
  <si>
    <t>Laptop</t>
  </si>
  <si>
    <t>Card</t>
  </si>
  <si>
    <t>East</t>
  </si>
  <si>
    <t>Kolkata</t>
  </si>
  <si>
    <t>Neha</t>
  </si>
  <si>
    <t>Furniture</t>
  </si>
  <si>
    <t>Chair</t>
  </si>
  <si>
    <t>Tablet</t>
  </si>
  <si>
    <t>Pune</t>
  </si>
  <si>
    <t>Jeans</t>
  </si>
  <si>
    <t>Chennai</t>
  </si>
  <si>
    <t>Table</t>
  </si>
  <si>
    <t>Jaipur</t>
  </si>
  <si>
    <t>Jacket</t>
  </si>
  <si>
    <t>Guwahati</t>
  </si>
  <si>
    <t>Sofa</t>
  </si>
  <si>
    <t>Surat</t>
  </si>
  <si>
    <t>Hyderabad</t>
  </si>
  <si>
    <t>Patna</t>
  </si>
  <si>
    <t>Chandigarh</t>
  </si>
  <si>
    <t>Row Labels</t>
  </si>
  <si>
    <t>Grand Total</t>
  </si>
  <si>
    <t>Sum of Units Sold</t>
  </si>
  <si>
    <t>Column Labels</t>
  </si>
  <si>
    <t>Sum of Unit Price</t>
  </si>
  <si>
    <t>Formula1</t>
  </si>
  <si>
    <t>Sum of Revenue</t>
  </si>
  <si>
    <t>PIVOT CHARTS</t>
  </si>
  <si>
    <t>Order_ID</t>
  </si>
  <si>
    <t>Order_Date</t>
  </si>
  <si>
    <t>Quantity</t>
  </si>
  <si>
    <t>Unit_Price</t>
  </si>
  <si>
    <t>Total_Sales</t>
  </si>
  <si>
    <t>Payment_Mode</t>
  </si>
  <si>
    <t>Priya</t>
  </si>
  <si>
    <t>Printer</t>
  </si>
  <si>
    <t>Rahul</t>
  </si>
  <si>
    <t>Credit Card</t>
  </si>
  <si>
    <t>Headphones</t>
  </si>
  <si>
    <t>Simran</t>
  </si>
  <si>
    <t>Karan</t>
  </si>
  <si>
    <t>Washing Machine</t>
  </si>
  <si>
    <t>Appliances</t>
  </si>
  <si>
    <t>Refrigerator</t>
  </si>
  <si>
    <t>Microwave</t>
  </si>
  <si>
    <t>Sum of Unit_Price</t>
  </si>
  <si>
    <t>Sum of Total_Sales</t>
  </si>
  <si>
    <t>Sum of Quantity</t>
  </si>
  <si>
    <t xml:space="preserve">TIMELINE IN PIVOT TABLE </t>
  </si>
  <si>
    <t>total price</t>
  </si>
  <si>
    <t>Total Quantity</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</si>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</sst>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b/>
      <sz val="22"/>
      <color theme="0" tint="-4.9989318521683403E-2"/>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18" Type="http://schemas.openxmlformats.org/officeDocument/2006/relationships/connections" Target="connection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TABLE.xlsx]PIVOT_TABLE_CHARTS!PivotTable5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73404892488798E-2"/>
          <c:y val="0.11604323061015974"/>
          <c:w val="0.84961692728549776"/>
          <c:h val="0.66845132120722672"/>
        </c:manualLayout>
      </c:layout>
      <c:barChart>
        <c:barDir val="col"/>
        <c:grouping val="clustered"/>
        <c:varyColors val="0"/>
        <c:ser>
          <c:idx val="0"/>
          <c:order val="0"/>
          <c:tx>
            <c:strRef>
              <c:f>PIVOT_TABLE_CHARTS!$B$44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PIVOT_TABLE_CHARTS!$A$45:$A$61</c:f>
              <c:multiLvlStrCache>
                <c:ptCount val="12"/>
                <c:lvl>
                  <c:pt idx="0">
                    <c:v>Guwahati</c:v>
                  </c:pt>
                  <c:pt idx="1">
                    <c:v>Kolkata</c:v>
                  </c:pt>
                  <c:pt idx="2">
                    <c:v>Patna</c:v>
                  </c:pt>
                  <c:pt idx="3">
                    <c:v>Chandigarh</c:v>
                  </c:pt>
                  <c:pt idx="4">
                    <c:v>Delhi</c:v>
                  </c:pt>
                  <c:pt idx="5">
                    <c:v>Jaipur</c:v>
                  </c:pt>
                  <c:pt idx="6">
                    <c:v>Bangalore</c:v>
                  </c:pt>
                  <c:pt idx="7">
                    <c:v>Chennai</c:v>
                  </c:pt>
                  <c:pt idx="8">
                    <c:v>Hyderabad</c:v>
                  </c:pt>
                  <c:pt idx="9">
                    <c:v>Mumbai</c:v>
                  </c:pt>
                  <c:pt idx="10">
                    <c:v>Pune</c:v>
                  </c:pt>
                  <c:pt idx="11">
                    <c:v>Surat</c:v>
                  </c:pt>
                </c:lvl>
                <c:lvl>
                  <c:pt idx="0">
                    <c:v>East</c:v>
                  </c:pt>
                  <c:pt idx="3">
                    <c:v>North</c:v>
                  </c:pt>
                  <c:pt idx="6">
                    <c:v>South</c:v>
                  </c:pt>
                  <c:pt idx="9">
                    <c:v>West</c:v>
                  </c:pt>
                </c:lvl>
              </c:multiLvlStrCache>
            </c:multiLvlStrRef>
          </c:cat>
          <c:val>
            <c:numRef>
              <c:f>PIVOT_TABLE_CHARTS!$B$45:$B$61</c:f>
              <c:numCache>
                <c:formatCode>General</c:formatCode>
                <c:ptCount val="12"/>
                <c:pt idx="0">
                  <c:v>139000</c:v>
                </c:pt>
                <c:pt idx="1">
                  <c:v>220000</c:v>
                </c:pt>
                <c:pt idx="2">
                  <c:v>23000</c:v>
                </c:pt>
                <c:pt idx="3">
                  <c:v>58000</c:v>
                </c:pt>
                <c:pt idx="4">
                  <c:v>416600</c:v>
                </c:pt>
                <c:pt idx="5">
                  <c:v>23700</c:v>
                </c:pt>
                <c:pt idx="6">
                  <c:v>184500</c:v>
                </c:pt>
                <c:pt idx="7">
                  <c:v>29600</c:v>
                </c:pt>
                <c:pt idx="8">
                  <c:v>162500</c:v>
                </c:pt>
                <c:pt idx="9">
                  <c:v>171400</c:v>
                </c:pt>
                <c:pt idx="10">
                  <c:v>25750</c:v>
                </c:pt>
                <c:pt idx="11">
                  <c:v>125200</c:v>
                </c:pt>
              </c:numCache>
            </c:numRef>
          </c:val>
          <c:extLst>
            <c:ext xmlns:c16="http://schemas.microsoft.com/office/drawing/2014/chart" uri="{C3380CC4-5D6E-409C-BE32-E72D297353CC}">
              <c16:uniqueId val="{00000027-8E4D-4AC0-9702-445B48956E77}"/>
            </c:ext>
          </c:extLst>
        </c:ser>
        <c:dLbls>
          <c:showLegendKey val="0"/>
          <c:showVal val="1"/>
          <c:showCatName val="0"/>
          <c:showSerName val="0"/>
          <c:showPercent val="0"/>
          <c:showBubbleSize val="0"/>
        </c:dLbls>
        <c:gapWidth val="315"/>
        <c:overlap val="-30"/>
        <c:axId val="965016048"/>
        <c:axId val="965016528"/>
      </c:barChart>
      <c:catAx>
        <c:axId val="9650160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5016528"/>
        <c:crosses val="autoZero"/>
        <c:auto val="1"/>
        <c:lblAlgn val="ctr"/>
        <c:lblOffset val="100"/>
        <c:noMultiLvlLbl val="0"/>
      </c:catAx>
      <c:valAx>
        <c:axId val="9650165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501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TABLE.xlsx]PIVOT_TABLE_CHARTS!PivotTable5</c:name>
    <c:fmtId val="6"/>
  </c:pivotSource>
  <c:chart>
    <c:title>
      <c:layout>
        <c:manualLayout>
          <c:xMode val="edge"/>
          <c:yMode val="edge"/>
          <c:x val="0.47046741849749651"/>
          <c:y val="2.234929450524021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1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822858593405748E-2"/>
          <c:y val="0.20394209198426469"/>
          <c:w val="0.78447683774929589"/>
          <c:h val="0.60307874651261817"/>
        </c:manualLayout>
      </c:layout>
      <c:pie3DChart>
        <c:varyColors val="1"/>
        <c:ser>
          <c:idx val="0"/>
          <c:order val="0"/>
          <c:tx>
            <c:strRef>
              <c:f>PIVOT_TABLE_CHARTS!$B$44</c:f>
              <c:strCache>
                <c:ptCount val="1"/>
                <c:pt idx="0">
                  <c:v>Total</c:v>
                </c:pt>
              </c:strCache>
            </c:strRef>
          </c:tx>
          <c:dPt>
            <c:idx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1-38A3-4517-94BF-129AFFCB9190}"/>
              </c:ext>
            </c:extLst>
          </c:dPt>
          <c:dPt>
            <c:idx val="1"/>
            <c:bubble3D val="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3-38A3-4517-94BF-129AFFCB9190}"/>
              </c:ext>
            </c:extLst>
          </c:dPt>
          <c:dPt>
            <c:idx val="2"/>
            <c:bubble3D val="0"/>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5-38A3-4517-94BF-129AFFCB9190}"/>
              </c:ext>
            </c:extLst>
          </c:dPt>
          <c:dPt>
            <c:idx val="3"/>
            <c:bubble3D val="0"/>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7-38A3-4517-94BF-129AFFCB9190}"/>
              </c:ext>
            </c:extLst>
          </c:dPt>
          <c:dPt>
            <c:idx val="4"/>
            <c:bubble3D val="0"/>
            <c:spPr>
              <a:gradFill rotWithShape="1">
                <a:gsLst>
                  <a:gs pos="0">
                    <a:schemeClr val="accent5">
                      <a:tint val="94000"/>
                      <a:satMod val="100000"/>
                      <a:lumMod val="108000"/>
                    </a:schemeClr>
                  </a:gs>
                  <a:gs pos="50000">
                    <a:schemeClr val="accent5">
                      <a:tint val="98000"/>
                      <a:shade val="100000"/>
                      <a:satMod val="100000"/>
                      <a:lumMod val="100000"/>
                    </a:schemeClr>
                  </a:gs>
                  <a:gs pos="100000">
                    <a:schemeClr val="accent5">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9-38A3-4517-94BF-129AFFCB9190}"/>
              </c:ext>
            </c:extLst>
          </c:dPt>
          <c:dPt>
            <c:idx val="5"/>
            <c:bubble3D val="0"/>
            <c:spPr>
              <a:gradFill rotWithShape="1">
                <a:gsLst>
                  <a:gs pos="0">
                    <a:schemeClr val="accent6">
                      <a:tint val="94000"/>
                      <a:satMod val="100000"/>
                      <a:lumMod val="108000"/>
                    </a:schemeClr>
                  </a:gs>
                  <a:gs pos="50000">
                    <a:schemeClr val="accent6">
                      <a:tint val="98000"/>
                      <a:shade val="100000"/>
                      <a:satMod val="100000"/>
                      <a:lumMod val="100000"/>
                    </a:schemeClr>
                  </a:gs>
                  <a:gs pos="100000">
                    <a:schemeClr val="accent6">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B-38A3-4517-94BF-129AFFCB9190}"/>
              </c:ext>
            </c:extLst>
          </c:dPt>
          <c:dPt>
            <c:idx val="6"/>
            <c:bubble3D val="0"/>
            <c:spPr>
              <a:gradFill rotWithShape="1">
                <a:gsLst>
                  <a:gs pos="0">
                    <a:schemeClr val="accent1">
                      <a:lumMod val="60000"/>
                      <a:tint val="94000"/>
                      <a:satMod val="100000"/>
                      <a:lumMod val="108000"/>
                    </a:schemeClr>
                  </a:gs>
                  <a:gs pos="50000">
                    <a:schemeClr val="accent1">
                      <a:lumMod val="60000"/>
                      <a:tint val="98000"/>
                      <a:shade val="100000"/>
                      <a:satMod val="100000"/>
                      <a:lumMod val="100000"/>
                    </a:schemeClr>
                  </a:gs>
                  <a:gs pos="100000">
                    <a:schemeClr val="accent1">
                      <a:lumMod val="60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D-38A3-4517-94BF-129AFFCB9190}"/>
              </c:ext>
            </c:extLst>
          </c:dPt>
          <c:dPt>
            <c:idx val="7"/>
            <c:bubble3D val="0"/>
            <c:spPr>
              <a:gradFill rotWithShape="1">
                <a:gsLst>
                  <a:gs pos="0">
                    <a:schemeClr val="accent2">
                      <a:lumMod val="60000"/>
                      <a:tint val="94000"/>
                      <a:satMod val="100000"/>
                      <a:lumMod val="108000"/>
                    </a:schemeClr>
                  </a:gs>
                  <a:gs pos="50000">
                    <a:schemeClr val="accent2">
                      <a:lumMod val="60000"/>
                      <a:tint val="98000"/>
                      <a:shade val="100000"/>
                      <a:satMod val="100000"/>
                      <a:lumMod val="100000"/>
                    </a:schemeClr>
                  </a:gs>
                  <a:gs pos="100000">
                    <a:schemeClr val="accent2">
                      <a:lumMod val="60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F-38A3-4517-94BF-129AFFCB9190}"/>
              </c:ext>
            </c:extLst>
          </c:dPt>
          <c:dPt>
            <c:idx val="8"/>
            <c:bubble3D val="0"/>
            <c:spPr>
              <a:gradFill rotWithShape="1">
                <a:gsLst>
                  <a:gs pos="0">
                    <a:schemeClr val="accent3">
                      <a:lumMod val="60000"/>
                      <a:tint val="94000"/>
                      <a:satMod val="100000"/>
                      <a:lumMod val="108000"/>
                    </a:schemeClr>
                  </a:gs>
                  <a:gs pos="50000">
                    <a:schemeClr val="accent3">
                      <a:lumMod val="60000"/>
                      <a:tint val="98000"/>
                      <a:shade val="100000"/>
                      <a:satMod val="100000"/>
                      <a:lumMod val="100000"/>
                    </a:schemeClr>
                  </a:gs>
                  <a:gs pos="100000">
                    <a:schemeClr val="accent3">
                      <a:lumMod val="60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11-38A3-4517-94BF-129AFFCB9190}"/>
              </c:ext>
            </c:extLst>
          </c:dPt>
          <c:dPt>
            <c:idx val="9"/>
            <c:bubble3D val="0"/>
            <c:spPr>
              <a:gradFill rotWithShape="1">
                <a:gsLst>
                  <a:gs pos="0">
                    <a:schemeClr val="accent4">
                      <a:lumMod val="60000"/>
                      <a:tint val="94000"/>
                      <a:satMod val="100000"/>
                      <a:lumMod val="108000"/>
                    </a:schemeClr>
                  </a:gs>
                  <a:gs pos="50000">
                    <a:schemeClr val="accent4">
                      <a:lumMod val="60000"/>
                      <a:tint val="98000"/>
                      <a:shade val="100000"/>
                      <a:satMod val="100000"/>
                      <a:lumMod val="100000"/>
                    </a:schemeClr>
                  </a:gs>
                  <a:gs pos="100000">
                    <a:schemeClr val="accent4">
                      <a:lumMod val="60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13-38A3-4517-94BF-129AFFCB9190}"/>
              </c:ext>
            </c:extLst>
          </c:dPt>
          <c:dPt>
            <c:idx val="10"/>
            <c:bubble3D val="0"/>
            <c:spPr>
              <a:gradFill rotWithShape="1">
                <a:gsLst>
                  <a:gs pos="0">
                    <a:schemeClr val="accent5">
                      <a:lumMod val="60000"/>
                      <a:tint val="94000"/>
                      <a:satMod val="100000"/>
                      <a:lumMod val="108000"/>
                    </a:schemeClr>
                  </a:gs>
                  <a:gs pos="50000">
                    <a:schemeClr val="accent5">
                      <a:lumMod val="60000"/>
                      <a:tint val="98000"/>
                      <a:shade val="100000"/>
                      <a:satMod val="100000"/>
                      <a:lumMod val="100000"/>
                    </a:schemeClr>
                  </a:gs>
                  <a:gs pos="100000">
                    <a:schemeClr val="accent5">
                      <a:lumMod val="60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15-38A3-4517-94BF-129AFFCB9190}"/>
              </c:ext>
            </c:extLst>
          </c:dPt>
          <c:dPt>
            <c:idx val="11"/>
            <c:bubble3D val="0"/>
            <c:spPr>
              <a:gradFill rotWithShape="1">
                <a:gsLst>
                  <a:gs pos="0">
                    <a:schemeClr val="accent6">
                      <a:lumMod val="60000"/>
                      <a:tint val="94000"/>
                      <a:satMod val="100000"/>
                      <a:lumMod val="108000"/>
                    </a:schemeClr>
                  </a:gs>
                  <a:gs pos="50000">
                    <a:schemeClr val="accent6">
                      <a:lumMod val="60000"/>
                      <a:tint val="98000"/>
                      <a:shade val="100000"/>
                      <a:satMod val="100000"/>
                      <a:lumMod val="100000"/>
                    </a:schemeClr>
                  </a:gs>
                  <a:gs pos="100000">
                    <a:schemeClr val="accent6">
                      <a:lumMod val="60000"/>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17-38A3-4517-94BF-129AFFCB91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PIVOT_TABLE_CHARTS!$A$45:$A$61</c:f>
              <c:multiLvlStrCache>
                <c:ptCount val="12"/>
                <c:lvl>
                  <c:pt idx="0">
                    <c:v>Guwahati</c:v>
                  </c:pt>
                  <c:pt idx="1">
                    <c:v>Kolkata</c:v>
                  </c:pt>
                  <c:pt idx="2">
                    <c:v>Patna</c:v>
                  </c:pt>
                  <c:pt idx="3">
                    <c:v>Chandigarh</c:v>
                  </c:pt>
                  <c:pt idx="4">
                    <c:v>Delhi</c:v>
                  </c:pt>
                  <c:pt idx="5">
                    <c:v>Jaipur</c:v>
                  </c:pt>
                  <c:pt idx="6">
                    <c:v>Bangalore</c:v>
                  </c:pt>
                  <c:pt idx="7">
                    <c:v>Chennai</c:v>
                  </c:pt>
                  <c:pt idx="8">
                    <c:v>Hyderabad</c:v>
                  </c:pt>
                  <c:pt idx="9">
                    <c:v>Mumbai</c:v>
                  </c:pt>
                  <c:pt idx="10">
                    <c:v>Pune</c:v>
                  </c:pt>
                  <c:pt idx="11">
                    <c:v>Surat</c:v>
                  </c:pt>
                </c:lvl>
                <c:lvl>
                  <c:pt idx="0">
                    <c:v>East</c:v>
                  </c:pt>
                  <c:pt idx="3">
                    <c:v>North</c:v>
                  </c:pt>
                  <c:pt idx="6">
                    <c:v>South</c:v>
                  </c:pt>
                  <c:pt idx="9">
                    <c:v>West</c:v>
                  </c:pt>
                </c:lvl>
              </c:multiLvlStrCache>
            </c:multiLvlStrRef>
          </c:cat>
          <c:val>
            <c:numRef>
              <c:f>PIVOT_TABLE_CHARTS!$B$45:$B$61</c:f>
              <c:numCache>
                <c:formatCode>General</c:formatCode>
                <c:ptCount val="12"/>
                <c:pt idx="0">
                  <c:v>139000</c:v>
                </c:pt>
                <c:pt idx="1">
                  <c:v>220000</c:v>
                </c:pt>
                <c:pt idx="2">
                  <c:v>23000</c:v>
                </c:pt>
                <c:pt idx="3">
                  <c:v>58000</c:v>
                </c:pt>
                <c:pt idx="4">
                  <c:v>416600</c:v>
                </c:pt>
                <c:pt idx="5">
                  <c:v>23700</c:v>
                </c:pt>
                <c:pt idx="6">
                  <c:v>184500</c:v>
                </c:pt>
                <c:pt idx="7">
                  <c:v>29600</c:v>
                </c:pt>
                <c:pt idx="8">
                  <c:v>162500</c:v>
                </c:pt>
                <c:pt idx="9">
                  <c:v>171400</c:v>
                </c:pt>
                <c:pt idx="10">
                  <c:v>25750</c:v>
                </c:pt>
                <c:pt idx="11">
                  <c:v>125200</c:v>
                </c:pt>
              </c:numCache>
            </c:numRef>
          </c:val>
          <c:extLst>
            <c:ext xmlns:c16="http://schemas.microsoft.com/office/drawing/2014/chart" uri="{C3380CC4-5D6E-409C-BE32-E72D297353CC}">
              <c16:uniqueId val="{00000004-68B7-4AC1-8954-AED9CABC0D6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TABLE.xlsx]PIVOT_TABLE_CHARTS!PivotTable3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pPr>
            <a:solidFill>
              <a:schemeClr val="accent1"/>
            </a:soli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PIVOT_TABLE_CHARTS!$B$63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PIVOT_TABLE_CHARTS!$A$64:$A$67</c:f>
              <c:strCache>
                <c:ptCount val="3"/>
                <c:pt idx="0">
                  <c:v>Clothing</c:v>
                </c:pt>
                <c:pt idx="1">
                  <c:v>Electronics</c:v>
                </c:pt>
                <c:pt idx="2">
                  <c:v>Furniture</c:v>
                </c:pt>
              </c:strCache>
            </c:strRef>
          </c:cat>
          <c:val>
            <c:numRef>
              <c:f>PIVOT_TABLE_CHARTS!$B$64:$B$67</c:f>
              <c:numCache>
                <c:formatCode>General</c:formatCode>
                <c:ptCount val="3"/>
                <c:pt idx="0">
                  <c:v>11750</c:v>
                </c:pt>
                <c:pt idx="1">
                  <c:v>381800</c:v>
                </c:pt>
                <c:pt idx="2">
                  <c:v>74300</c:v>
                </c:pt>
              </c:numCache>
            </c:numRef>
          </c:val>
          <c:extLst>
            <c:ext xmlns:c16="http://schemas.microsoft.com/office/drawing/2014/chart" uri="{C3380CC4-5D6E-409C-BE32-E72D297353CC}">
              <c16:uniqueId val="{00000003-E1D1-4FA5-89E6-5B30EAADC41F}"/>
            </c:ext>
          </c:extLst>
        </c:ser>
        <c:dLbls>
          <c:showLegendKey val="0"/>
          <c:showVal val="1"/>
          <c:showCatName val="0"/>
          <c:showSerName val="0"/>
          <c:showPercent val="0"/>
          <c:showBubbleSize val="0"/>
        </c:dLbls>
        <c:gapWidth val="150"/>
        <c:axId val="375389408"/>
        <c:axId val="375390848"/>
      </c:barChart>
      <c:catAx>
        <c:axId val="37538940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75390848"/>
        <c:crosses val="autoZero"/>
        <c:auto val="1"/>
        <c:lblAlgn val="ctr"/>
        <c:lblOffset val="100"/>
        <c:noMultiLvlLbl val="0"/>
      </c:catAx>
      <c:valAx>
        <c:axId val="3753908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crossAx val="37538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TABLE.xlsx]SLICER!PivotTable6</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8684999766"/>
          <c:y val="0.25838273892234059"/>
          <c:w val="0.76912270341207345"/>
          <c:h val="0.53774387576552929"/>
        </c:manualLayout>
      </c:layout>
      <c:barChart>
        <c:barDir val="col"/>
        <c:grouping val="clustered"/>
        <c:varyColors val="0"/>
        <c:ser>
          <c:idx val="0"/>
          <c:order val="0"/>
          <c:tx>
            <c:strRef>
              <c:f>SLICER!$B$2</c:f>
              <c:strCache>
                <c:ptCount val="1"/>
                <c:pt idx="0">
                  <c:v>Total</c:v>
                </c:pt>
              </c:strCache>
            </c:strRef>
          </c:tx>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errBars>
            <c:errBarType val="both"/>
            <c:errValType val="percentage"/>
            <c:noEndCap val="0"/>
            <c:val val="5"/>
            <c:spPr>
              <a:noFill/>
              <a:ln w="9525">
                <a:solidFill>
                  <a:schemeClr val="dk1">
                    <a:lumMod val="50000"/>
                    <a:lumOff val="50000"/>
                  </a:schemeClr>
                </a:solidFill>
                <a:round/>
              </a:ln>
              <a:effectLst/>
            </c:spPr>
          </c:errBars>
          <c:cat>
            <c:strRef>
              <c:f>SLICER!$A$3:$A$4</c:f>
              <c:strCache>
                <c:ptCount val="1"/>
                <c:pt idx="0">
                  <c:v>East</c:v>
                </c:pt>
              </c:strCache>
            </c:strRef>
          </c:cat>
          <c:val>
            <c:numRef>
              <c:f>SLICER!$B$3:$B$4</c:f>
              <c:numCache>
                <c:formatCode>General</c:formatCode>
                <c:ptCount val="1"/>
                <c:pt idx="0">
                  <c:v>382000</c:v>
                </c:pt>
              </c:numCache>
            </c:numRef>
          </c:val>
          <c:extLst>
            <c:ext xmlns:c16="http://schemas.microsoft.com/office/drawing/2014/chart" uri="{C3380CC4-5D6E-409C-BE32-E72D297353CC}">
              <c16:uniqueId val="{00000000-0207-4850-8A09-E639F2B57F28}"/>
            </c:ext>
          </c:extLst>
        </c:ser>
        <c:dLbls>
          <c:dLblPos val="inEnd"/>
          <c:showLegendKey val="0"/>
          <c:showVal val="1"/>
          <c:showCatName val="0"/>
          <c:showSerName val="0"/>
          <c:showPercent val="0"/>
          <c:showBubbleSize val="0"/>
        </c:dLbls>
        <c:gapWidth val="41"/>
        <c:axId val="382666576"/>
        <c:axId val="382650256"/>
      </c:barChart>
      <c:catAx>
        <c:axId val="3826665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82650256"/>
        <c:crosses val="autoZero"/>
        <c:auto val="1"/>
        <c:lblAlgn val="ctr"/>
        <c:lblOffset val="100"/>
        <c:noMultiLvlLbl val="0"/>
      </c:catAx>
      <c:valAx>
        <c:axId val="382650256"/>
        <c:scaling>
          <c:orientation val="minMax"/>
        </c:scaling>
        <c:delete val="1"/>
        <c:axPos val="l"/>
        <c:numFmt formatCode="General" sourceLinked="1"/>
        <c:majorTickMark val="none"/>
        <c:minorTickMark val="none"/>
        <c:tickLblPos val="nextTo"/>
        <c:crossAx val="38266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tx2">
          <a:lumMod val="75000"/>
        </a:schemeClr>
      </a:fgClr>
      <a:bgClr>
        <a:schemeClr val="bg1"/>
      </a:bgClr>
    </a:pattFill>
    <a:ln w="9525" cap="flat" cmpd="sng" algn="ctr">
      <a:solidFill>
        <a:schemeClr val="dk1">
          <a:lumMod val="15000"/>
          <a:lumOff val="85000"/>
        </a:schemeClr>
      </a:solidFill>
      <a:round/>
    </a:ln>
    <a:effectLst/>
    <a:scene3d>
      <a:camera prst="orthographicFront"/>
      <a:lightRig rig="threePt" dir="t"/>
    </a:scene3d>
    <a:sp3d>
      <a:bevelT w="203200" h="209550"/>
      <a:bevelB w="196850" h="1778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TABLE.xlsx]SLICER!PivotTable6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cene3d>
            <a:camera prst="orthographicFront"/>
            <a:lightRig rig="threePt" dir="t"/>
          </a:scene3d>
          <a:sp3d contourW="25400">
            <a:bevelT w="139700" h="139700" prst="divot"/>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SLICER!$B$2</c:f>
              <c:strCache>
                <c:ptCount val="1"/>
                <c:pt idx="0">
                  <c:v>Total</c:v>
                </c:pt>
              </c:strCache>
            </c:strRef>
          </c:tx>
          <c:explosion val="1"/>
          <c:dPt>
            <c:idx val="0"/>
            <c:bubble3D val="0"/>
            <c:spPr>
              <a:solidFill>
                <a:schemeClr val="accent1"/>
              </a:solidFill>
              <a:ln w="25400">
                <a:solidFill>
                  <a:schemeClr val="lt1"/>
                </a:solidFill>
              </a:ln>
              <a:effectLst/>
              <a:scene3d>
                <a:camera prst="orthographicFront"/>
                <a:lightRig rig="threePt" dir="t"/>
              </a:scene3d>
              <a:sp3d contourW="25400">
                <a:bevelT w="139700" h="139700" prst="divot"/>
                <a:contourClr>
                  <a:schemeClr val="lt1"/>
                </a:contourClr>
              </a:sp3d>
            </c:spPr>
            <c:extLst>
              <c:ext xmlns:c16="http://schemas.microsoft.com/office/drawing/2014/chart" uri="{C3380CC4-5D6E-409C-BE32-E72D297353CC}">
                <c16:uniqueId val="{00000002-06B4-4C2C-A8AC-E42148E3D37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05C-4926-91F4-739750A3777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05C-4926-91F4-739750A37771}"/>
              </c:ext>
            </c:extLst>
          </c:dPt>
          <c:cat>
            <c:strRef>
              <c:f>SLICER!$A$3:$A$4</c:f>
              <c:strCache>
                <c:ptCount val="1"/>
                <c:pt idx="0">
                  <c:v>East</c:v>
                </c:pt>
              </c:strCache>
            </c:strRef>
          </c:cat>
          <c:val>
            <c:numRef>
              <c:f>SLICER!$B$3:$B$4</c:f>
              <c:numCache>
                <c:formatCode>General</c:formatCode>
                <c:ptCount val="1"/>
                <c:pt idx="0">
                  <c:v>382000</c:v>
                </c:pt>
              </c:numCache>
            </c:numRef>
          </c:val>
          <c:extLst>
            <c:ext xmlns:c16="http://schemas.microsoft.com/office/drawing/2014/chart" uri="{C3380CC4-5D6E-409C-BE32-E72D297353CC}">
              <c16:uniqueId val="{00000000-06B4-4C2C-A8AC-E42148E3D371}"/>
            </c:ext>
          </c:extLst>
        </c:ser>
        <c:dLbls>
          <c:showLegendKey val="0"/>
          <c:showVal val="0"/>
          <c:showCatName val="0"/>
          <c:showSerName val="0"/>
          <c:showPercent val="0"/>
          <c:showBubbleSize val="0"/>
          <c:showLeaderLines val="1"/>
        </c:dLbls>
      </c:pie3DChart>
      <c:spPr>
        <a:noFill/>
        <a:ln>
          <a:no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tx2">
          <a:lumMod val="75000"/>
        </a:schemeClr>
      </a:fgClr>
      <a:bgClr>
        <a:schemeClr val="bg1"/>
      </a:bgClr>
    </a:pattFill>
    <a:ln w="9525" cap="flat" cmpd="sng" algn="ctr">
      <a:solidFill>
        <a:schemeClr val="tx1">
          <a:lumMod val="15000"/>
          <a:lumOff val="85000"/>
        </a:schemeClr>
      </a:solidFill>
      <a:round/>
    </a:ln>
    <a:effectLst/>
    <a:scene3d>
      <a:camera prst="orthographicFront"/>
      <a:lightRig rig="threePt" dir="t"/>
    </a:scene3d>
    <a:sp3d prstMaterial="clear">
      <a:bevelT w="57150" h="812800" prst="artDeco"/>
      <a:bevelB w="165100" h="342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TABLE.xlsx]SLICER_SETTINGS!PivotTable3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Sum of Quantity</a:t>
            </a:r>
          </a:p>
        </c:rich>
      </c:tx>
      <c:layout>
        <c:manualLayout>
          <c:xMode val="edge"/>
          <c:yMode val="edge"/>
          <c:x val="1.032391489048453E-2"/>
          <c:y val="1.82916650016264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solidFill>
          <a:ln>
            <a:noFill/>
          </a:ln>
          <a:effectLst>
            <a:outerShdw blurRad="254000" sx="102000" sy="102000" algn="ctr" rotWithShape="0">
              <a:prstClr val="black">
                <a:alpha val="20000"/>
              </a:prstClr>
            </a:outerShdw>
          </a:effectLst>
          <a:sp3d/>
        </c:spPr>
      </c:pivotFmt>
      <c:pivotFmt>
        <c:idx val="53"/>
        <c:spPr>
          <a:solidFill>
            <a:schemeClr val="accent1"/>
          </a:solidFill>
          <a:ln>
            <a:noFill/>
          </a:ln>
          <a:effectLst>
            <a:outerShdw blurRad="254000" sx="102000" sy="102000" algn="ctr" rotWithShape="0">
              <a:prstClr val="black">
                <a:alpha val="20000"/>
              </a:prstClr>
            </a:outerShdw>
          </a:effectLst>
          <a:sp3d/>
        </c:spPr>
      </c:pivotFmt>
      <c:pivotFmt>
        <c:idx val="54"/>
        <c:spPr>
          <a:solidFill>
            <a:schemeClr val="accent1"/>
          </a:solidFill>
          <a:ln>
            <a:noFill/>
          </a:ln>
          <a:effectLst>
            <a:outerShdw blurRad="254000" sx="102000" sy="102000" algn="ctr" rotWithShape="0">
              <a:prstClr val="black">
                <a:alpha val="20000"/>
              </a:prstClr>
            </a:outerShdw>
          </a:effectLst>
          <a:sp3d/>
        </c:spPr>
      </c:pivotFmt>
      <c:pivotFmt>
        <c:idx val="55"/>
        <c:spPr>
          <a:solidFill>
            <a:schemeClr val="accent1"/>
          </a:solidFill>
          <a:ln>
            <a:noFill/>
          </a:ln>
          <a:effectLst>
            <a:outerShdw blurRad="254000" sx="102000" sy="102000" algn="ctr" rotWithShape="0">
              <a:prstClr val="black">
                <a:alpha val="20000"/>
              </a:prstClr>
            </a:outerShdw>
          </a:effectLst>
          <a:sp3d/>
        </c:spPr>
      </c:pivotFmt>
      <c:pivotFmt>
        <c:idx val="56"/>
        <c:spPr>
          <a:solidFill>
            <a:schemeClr val="accent1"/>
          </a:solidFill>
          <a:ln>
            <a:noFill/>
          </a:ln>
          <a:effectLst>
            <a:outerShdw blurRad="254000" sx="102000" sy="102000" algn="ctr" rotWithShape="0">
              <a:prstClr val="black">
                <a:alpha val="20000"/>
              </a:prstClr>
            </a:outerShdw>
          </a:effectLst>
          <a:sp3d/>
        </c:spPr>
      </c:pivotFmt>
      <c:pivotFmt>
        <c:idx val="57"/>
        <c:spPr>
          <a:solidFill>
            <a:schemeClr val="accent1"/>
          </a:solidFill>
          <a:ln>
            <a:noFill/>
          </a:ln>
          <a:effectLst>
            <a:outerShdw blurRad="254000" sx="102000" sy="102000" algn="ctr" rotWithShape="0">
              <a:prstClr val="black">
                <a:alpha val="20000"/>
              </a:prstClr>
            </a:outerShdw>
          </a:effectLst>
          <a:sp3d/>
        </c:spPr>
      </c:pivotFmt>
      <c:pivotFmt>
        <c:idx val="58"/>
        <c:spPr>
          <a:solidFill>
            <a:schemeClr val="accent1"/>
          </a:solidFill>
          <a:ln>
            <a:noFill/>
          </a:ln>
          <a:effectLst>
            <a:outerShdw blurRad="254000" sx="102000" sy="102000" algn="ctr" rotWithShape="0">
              <a:prstClr val="black">
                <a:alpha val="20000"/>
              </a:prstClr>
            </a:outerShdw>
          </a:effectLst>
          <a:sp3d/>
        </c:spPr>
      </c:pivotFmt>
      <c:pivotFmt>
        <c:idx val="59"/>
        <c:spPr>
          <a:solidFill>
            <a:schemeClr val="accent1"/>
          </a:solidFill>
          <a:ln>
            <a:noFill/>
          </a:ln>
          <a:effectLst>
            <a:outerShdw blurRad="254000" sx="102000" sy="102000" algn="ctr" rotWithShape="0">
              <a:prstClr val="black">
                <a:alpha val="20000"/>
              </a:prstClr>
            </a:outerShdw>
          </a:effectLst>
          <a:sp3d/>
        </c:spPr>
      </c:pivotFmt>
      <c:pivotFmt>
        <c:idx val="60"/>
        <c:spPr>
          <a:solidFill>
            <a:schemeClr val="accent1"/>
          </a:solidFill>
          <a:ln>
            <a:noFill/>
          </a:ln>
          <a:effectLst>
            <a:outerShdw blurRad="254000" sx="102000" sy="102000" algn="ctr" rotWithShape="0">
              <a:prstClr val="black">
                <a:alpha val="20000"/>
              </a:prstClr>
            </a:outerShdw>
          </a:effectLst>
          <a:sp3d/>
        </c:spPr>
      </c:pivotFmt>
      <c:pivotFmt>
        <c:idx val="61"/>
        <c:spPr>
          <a:solidFill>
            <a:schemeClr val="accent1"/>
          </a:solidFill>
          <a:ln>
            <a:noFill/>
          </a:ln>
          <a:effectLst>
            <a:outerShdw blurRad="254000" sx="102000" sy="102000" algn="ctr" rotWithShape="0">
              <a:prstClr val="black">
                <a:alpha val="20000"/>
              </a:prstClr>
            </a:outerShdw>
          </a:effectLst>
          <a:sp3d/>
        </c:spPr>
      </c:pivotFmt>
      <c:pivotFmt>
        <c:idx val="62"/>
        <c:spPr>
          <a:solidFill>
            <a:schemeClr val="accent1"/>
          </a:solidFill>
          <a:ln>
            <a:noFill/>
          </a:ln>
          <a:effectLst>
            <a:outerShdw blurRad="254000" sx="102000" sy="102000" algn="ctr" rotWithShape="0">
              <a:prstClr val="black">
                <a:alpha val="20000"/>
              </a:prstClr>
            </a:outerShdw>
          </a:effectLst>
          <a:sp3d/>
        </c:spPr>
      </c:pivotFmt>
      <c:pivotFmt>
        <c:idx val="63"/>
        <c:spPr>
          <a:solidFill>
            <a:schemeClr val="accent1"/>
          </a:solidFill>
          <a:ln>
            <a:noFill/>
          </a:ln>
          <a:effectLst>
            <a:outerShdw blurRad="254000" sx="102000" sy="102000" algn="ctr" rotWithShape="0">
              <a:prstClr val="black">
                <a:alpha val="20000"/>
              </a:prstClr>
            </a:outerShdw>
          </a:effectLst>
          <a:sp3d/>
        </c:spPr>
      </c:pivotFmt>
      <c:pivotFmt>
        <c:idx val="64"/>
        <c:spPr>
          <a:solidFill>
            <a:schemeClr val="accent1"/>
          </a:solidFill>
          <a:ln>
            <a:noFill/>
          </a:ln>
          <a:effectLst>
            <a:outerShdw blurRad="254000" sx="102000" sy="102000" algn="ctr" rotWithShape="0">
              <a:prstClr val="black">
                <a:alpha val="20000"/>
              </a:prstClr>
            </a:outerShdw>
          </a:effectLst>
          <a:sp3d/>
        </c:spPr>
      </c:pivotFmt>
      <c:pivotFmt>
        <c:idx val="65"/>
        <c:spPr>
          <a:solidFill>
            <a:schemeClr val="accent1"/>
          </a:solidFill>
          <a:ln>
            <a:noFill/>
          </a:ln>
          <a:effectLst>
            <a:outerShdw blurRad="254000" sx="102000" sy="102000" algn="ctr" rotWithShape="0">
              <a:prstClr val="black">
                <a:alpha val="20000"/>
              </a:prstClr>
            </a:outerShdw>
          </a:effectLst>
          <a:sp3d/>
        </c:spPr>
      </c:pivotFmt>
      <c:pivotFmt>
        <c:idx val="66"/>
        <c:spPr>
          <a:solidFill>
            <a:schemeClr val="accent1"/>
          </a:solidFill>
          <a:ln>
            <a:noFill/>
          </a:ln>
          <a:effectLst>
            <a:outerShdw blurRad="254000" sx="102000" sy="102000" algn="ctr" rotWithShape="0">
              <a:prstClr val="black">
                <a:alpha val="20000"/>
              </a:prstClr>
            </a:outerShdw>
          </a:effectLst>
          <a:sp3d/>
        </c:spPr>
      </c:pivotFmt>
      <c:pivotFmt>
        <c:idx val="67"/>
        <c:spPr>
          <a:solidFill>
            <a:schemeClr val="accent1"/>
          </a:solidFill>
          <a:ln>
            <a:noFill/>
          </a:ln>
          <a:effectLst>
            <a:outerShdw blurRad="254000" sx="102000" sy="102000" algn="ctr" rotWithShape="0">
              <a:prstClr val="black">
                <a:alpha val="20000"/>
              </a:prstClr>
            </a:outerShdw>
          </a:effectLst>
          <a:sp3d/>
        </c:spPr>
      </c:pivotFmt>
      <c:pivotFmt>
        <c:idx val="68"/>
        <c:spPr>
          <a:solidFill>
            <a:schemeClr val="accent1"/>
          </a:solidFill>
          <a:ln>
            <a:noFill/>
          </a:ln>
          <a:effectLst>
            <a:outerShdw blurRad="254000" sx="102000" sy="102000" algn="ctr" rotWithShape="0">
              <a:prstClr val="black">
                <a:alpha val="20000"/>
              </a:prstClr>
            </a:outerShdw>
          </a:effectLst>
          <a:sp3d/>
        </c:spPr>
      </c:pivotFmt>
      <c:pivotFmt>
        <c:idx val="69"/>
        <c:spPr>
          <a:solidFill>
            <a:schemeClr val="accent1"/>
          </a:solidFill>
          <a:ln>
            <a:noFill/>
          </a:ln>
          <a:effectLst>
            <a:outerShdw blurRad="254000" sx="102000" sy="102000" algn="ctr" rotWithShape="0">
              <a:prstClr val="black">
                <a:alpha val="20000"/>
              </a:prstClr>
            </a:outerShdw>
          </a:effectLst>
          <a:sp3d/>
        </c:spPr>
      </c:pivotFmt>
      <c:pivotFmt>
        <c:idx val="70"/>
        <c:spPr>
          <a:solidFill>
            <a:schemeClr val="accent1"/>
          </a:solidFill>
          <a:ln>
            <a:noFill/>
          </a:ln>
          <a:effectLst>
            <a:outerShdw blurRad="254000" sx="102000" sy="102000" algn="ctr" rotWithShape="0">
              <a:prstClr val="black">
                <a:alpha val="20000"/>
              </a:prstClr>
            </a:outerShdw>
          </a:effectLst>
          <a:sp3d/>
        </c:spPr>
      </c:pivotFmt>
      <c:pivotFmt>
        <c:idx val="71"/>
        <c:spPr>
          <a:solidFill>
            <a:schemeClr val="accent1"/>
          </a:solidFill>
          <a:ln>
            <a:noFill/>
          </a:ln>
          <a:effectLst>
            <a:outerShdw blurRad="254000" sx="102000" sy="102000" algn="ctr" rotWithShape="0">
              <a:prstClr val="black">
                <a:alpha val="20000"/>
              </a:prstClr>
            </a:outerShdw>
          </a:effectLst>
          <a:sp3d/>
        </c:spPr>
      </c:pivotFmt>
      <c:pivotFmt>
        <c:idx val="72"/>
        <c:spPr>
          <a:solidFill>
            <a:schemeClr val="accent1"/>
          </a:solidFill>
          <a:ln>
            <a:noFill/>
          </a:ln>
          <a:effectLst>
            <a:outerShdw blurRad="254000" sx="102000" sy="102000" algn="ctr" rotWithShape="0">
              <a:prstClr val="black">
                <a:alpha val="20000"/>
              </a:prstClr>
            </a:outerShdw>
          </a:effectLst>
          <a:sp3d/>
        </c:spPr>
      </c:pivotFmt>
      <c:pivotFmt>
        <c:idx val="73"/>
        <c:spPr>
          <a:solidFill>
            <a:schemeClr val="accent1"/>
          </a:solidFill>
          <a:ln>
            <a:noFill/>
          </a:ln>
          <a:effectLst>
            <a:outerShdw blurRad="254000" sx="102000" sy="102000" algn="ctr" rotWithShape="0">
              <a:prstClr val="black">
                <a:alpha val="20000"/>
              </a:prstClr>
            </a:outerShdw>
          </a:effectLst>
          <a:sp3d/>
        </c:spPr>
      </c:pivotFmt>
      <c:pivotFmt>
        <c:idx val="74"/>
        <c:spPr>
          <a:solidFill>
            <a:schemeClr val="accent1"/>
          </a:solidFill>
          <a:ln>
            <a:noFill/>
          </a:ln>
          <a:effectLst>
            <a:outerShdw blurRad="254000" sx="102000" sy="102000" algn="ctr" rotWithShape="0">
              <a:prstClr val="black">
                <a:alpha val="20000"/>
              </a:prstClr>
            </a:outerShdw>
          </a:effectLst>
          <a:sp3d/>
        </c:spPr>
      </c:pivotFmt>
      <c:pivotFmt>
        <c:idx val="75"/>
        <c:spPr>
          <a:solidFill>
            <a:schemeClr val="accent1"/>
          </a:solidFill>
          <a:ln>
            <a:noFill/>
          </a:ln>
          <a:effectLst>
            <a:outerShdw blurRad="254000" sx="102000" sy="102000" algn="ctr" rotWithShape="0">
              <a:prstClr val="black">
                <a:alpha val="20000"/>
              </a:prstClr>
            </a:outerShdw>
          </a:effectLst>
          <a:sp3d/>
        </c:spPr>
      </c:pivotFmt>
      <c:pivotFmt>
        <c:idx val="76"/>
        <c:spPr>
          <a:solidFill>
            <a:schemeClr val="accent1"/>
          </a:solidFill>
          <a:ln>
            <a:noFill/>
          </a:ln>
          <a:effectLst>
            <a:outerShdw blurRad="254000" sx="102000" sy="102000" algn="ctr" rotWithShape="0">
              <a:prstClr val="black">
                <a:alpha val="20000"/>
              </a:prstClr>
            </a:outerShdw>
          </a:effectLst>
          <a:sp3d/>
        </c:spPr>
      </c:pivotFmt>
      <c:pivotFmt>
        <c:idx val="77"/>
        <c:spPr>
          <a:solidFill>
            <a:schemeClr val="accent1"/>
          </a:solidFill>
          <a:ln>
            <a:noFill/>
          </a:ln>
          <a:effectLst>
            <a:outerShdw blurRad="254000" sx="102000" sy="102000" algn="ctr" rotWithShape="0">
              <a:prstClr val="black">
                <a:alpha val="20000"/>
              </a:prstClr>
            </a:outerShdw>
          </a:effectLst>
          <a:sp3d/>
        </c:spPr>
      </c:pivotFmt>
      <c:pivotFmt>
        <c:idx val="78"/>
        <c:spPr>
          <a:solidFill>
            <a:schemeClr val="accent1"/>
          </a:solidFill>
          <a:ln>
            <a:noFill/>
          </a:ln>
          <a:effectLst>
            <a:outerShdw blurRad="254000" sx="102000" sy="102000" algn="ctr" rotWithShape="0">
              <a:prstClr val="black">
                <a:alpha val="20000"/>
              </a:prstClr>
            </a:outerShdw>
          </a:effectLst>
          <a:sp3d/>
        </c:spPr>
      </c:pivotFmt>
      <c:pivotFmt>
        <c:idx val="79"/>
        <c:spPr>
          <a:solidFill>
            <a:schemeClr val="accent1"/>
          </a:solidFill>
          <a:ln>
            <a:noFill/>
          </a:ln>
          <a:effectLst>
            <a:outerShdw blurRad="254000" sx="102000" sy="102000" algn="ctr" rotWithShape="0">
              <a:prstClr val="black">
                <a:alpha val="20000"/>
              </a:prstClr>
            </a:outerShdw>
          </a:effectLst>
          <a:sp3d/>
        </c:spPr>
      </c:pivotFmt>
      <c:pivotFmt>
        <c:idx val="80"/>
        <c:spPr>
          <a:solidFill>
            <a:schemeClr val="accent1"/>
          </a:solidFill>
          <a:ln>
            <a:noFill/>
          </a:ln>
          <a:effectLst>
            <a:outerShdw blurRad="254000" sx="102000" sy="102000" algn="ctr" rotWithShape="0">
              <a:prstClr val="black">
                <a:alpha val="20000"/>
              </a:prstClr>
            </a:outerShdw>
          </a:effectLst>
          <a:sp3d/>
        </c:spPr>
      </c:pivotFmt>
      <c:pivotFmt>
        <c:idx val="81"/>
        <c:spPr>
          <a:solidFill>
            <a:schemeClr val="accent1"/>
          </a:solidFill>
          <a:ln>
            <a:noFill/>
          </a:ln>
          <a:effectLst>
            <a:outerShdw blurRad="254000" sx="102000" sy="102000" algn="ctr" rotWithShape="0">
              <a:prstClr val="black">
                <a:alpha val="20000"/>
              </a:prstClr>
            </a:outerShdw>
          </a:effectLst>
          <a:sp3d/>
        </c:spPr>
      </c:pivotFmt>
      <c:pivotFmt>
        <c:idx val="82"/>
        <c:spPr>
          <a:solidFill>
            <a:schemeClr val="accent1"/>
          </a:solidFill>
          <a:ln>
            <a:noFill/>
          </a:ln>
          <a:effectLst>
            <a:outerShdw blurRad="254000" sx="102000" sy="102000" algn="ctr" rotWithShape="0">
              <a:prstClr val="black">
                <a:alpha val="20000"/>
              </a:prstClr>
            </a:outerShdw>
          </a:effectLst>
          <a:sp3d/>
        </c:spPr>
      </c:pivotFmt>
      <c:pivotFmt>
        <c:idx val="83"/>
        <c:spPr>
          <a:solidFill>
            <a:schemeClr val="accent1"/>
          </a:solidFill>
          <a:ln>
            <a:noFill/>
          </a:ln>
          <a:effectLst>
            <a:outerShdw blurRad="254000" sx="102000" sy="102000" algn="ctr" rotWithShape="0">
              <a:prstClr val="black">
                <a:alpha val="20000"/>
              </a:prstClr>
            </a:outerShdw>
          </a:effectLst>
          <a:sp3d/>
        </c:spPr>
      </c:pivotFmt>
      <c:pivotFmt>
        <c:idx val="84"/>
        <c:spPr>
          <a:solidFill>
            <a:schemeClr val="accent1"/>
          </a:solidFill>
          <a:ln>
            <a:noFill/>
          </a:ln>
          <a:effectLst>
            <a:outerShdw blurRad="254000" sx="102000" sy="102000" algn="ctr" rotWithShape="0">
              <a:prstClr val="black">
                <a:alpha val="20000"/>
              </a:prstClr>
            </a:outerShdw>
          </a:effectLst>
          <a:sp3d/>
        </c:spPr>
      </c:pivotFmt>
      <c:pivotFmt>
        <c:idx val="85"/>
        <c:spPr>
          <a:solidFill>
            <a:schemeClr val="accent1"/>
          </a:solidFill>
          <a:ln>
            <a:noFill/>
          </a:ln>
          <a:effectLst>
            <a:outerShdw blurRad="254000" sx="102000" sy="102000" algn="ctr" rotWithShape="0">
              <a:prstClr val="black">
                <a:alpha val="20000"/>
              </a:prstClr>
            </a:outerShdw>
          </a:effectLst>
          <a:sp3d/>
        </c:spPr>
      </c:pivotFmt>
      <c:pivotFmt>
        <c:idx val="86"/>
        <c:spPr>
          <a:solidFill>
            <a:schemeClr val="accent1"/>
          </a:solidFill>
          <a:ln>
            <a:noFill/>
          </a:ln>
          <a:effectLst>
            <a:outerShdw blurRad="254000" sx="102000" sy="102000" algn="ctr" rotWithShape="0">
              <a:prstClr val="black">
                <a:alpha val="20000"/>
              </a:prstClr>
            </a:outerShdw>
          </a:effectLst>
          <a:sp3d/>
        </c:spPr>
      </c:pivotFmt>
      <c:pivotFmt>
        <c:idx val="87"/>
        <c:spPr>
          <a:solidFill>
            <a:schemeClr val="accent1"/>
          </a:solidFill>
          <a:ln>
            <a:noFill/>
          </a:ln>
          <a:effectLst>
            <a:outerShdw blurRad="254000" sx="102000" sy="102000" algn="ctr" rotWithShape="0">
              <a:prstClr val="black">
                <a:alpha val="20000"/>
              </a:prstClr>
            </a:outerShdw>
          </a:effectLst>
          <a:sp3d/>
        </c:spPr>
      </c:pivotFmt>
      <c:pivotFmt>
        <c:idx val="88"/>
        <c:spPr>
          <a:solidFill>
            <a:schemeClr val="accent1"/>
          </a:solidFill>
          <a:ln>
            <a:noFill/>
          </a:ln>
          <a:effectLst>
            <a:outerShdw blurRad="254000" sx="102000" sy="102000" algn="ctr" rotWithShape="0">
              <a:prstClr val="black">
                <a:alpha val="20000"/>
              </a:prstClr>
            </a:outerShdw>
          </a:effectLst>
          <a:sp3d/>
        </c:spPr>
      </c:pivotFmt>
      <c:pivotFmt>
        <c:idx val="89"/>
        <c:spPr>
          <a:solidFill>
            <a:schemeClr val="accent1"/>
          </a:solidFill>
          <a:ln>
            <a:noFill/>
          </a:ln>
          <a:effectLst>
            <a:outerShdw blurRad="254000" sx="102000" sy="102000" algn="ctr" rotWithShape="0">
              <a:prstClr val="black">
                <a:alpha val="20000"/>
              </a:prstClr>
            </a:outerShdw>
          </a:effectLst>
          <a:sp3d/>
        </c:spPr>
      </c:pivotFmt>
      <c:pivotFmt>
        <c:idx val="90"/>
        <c:spPr>
          <a:solidFill>
            <a:schemeClr val="accent1"/>
          </a:solidFill>
          <a:ln>
            <a:noFill/>
          </a:ln>
          <a:effectLst>
            <a:outerShdw blurRad="254000" sx="102000" sy="102000" algn="ctr" rotWithShape="0">
              <a:prstClr val="black">
                <a:alpha val="20000"/>
              </a:prstClr>
            </a:outerShdw>
          </a:effectLst>
          <a:sp3d/>
        </c:spPr>
      </c:pivotFmt>
      <c:pivotFmt>
        <c:idx val="91"/>
        <c:spPr>
          <a:solidFill>
            <a:schemeClr val="accent1"/>
          </a:solidFill>
          <a:ln>
            <a:noFill/>
          </a:ln>
          <a:effectLst>
            <a:outerShdw blurRad="254000" sx="102000" sy="102000" algn="ctr" rotWithShape="0">
              <a:prstClr val="black">
                <a:alpha val="20000"/>
              </a:prstClr>
            </a:outerShdw>
          </a:effectLst>
          <a:sp3d/>
        </c:spPr>
      </c:pivotFmt>
      <c:pivotFmt>
        <c:idx val="92"/>
        <c:spPr>
          <a:solidFill>
            <a:schemeClr val="accent1"/>
          </a:solidFill>
          <a:ln>
            <a:noFill/>
          </a:ln>
          <a:effectLst>
            <a:outerShdw blurRad="254000" sx="102000" sy="102000" algn="ctr" rotWithShape="0">
              <a:prstClr val="black">
                <a:alpha val="20000"/>
              </a:prstClr>
            </a:outerShdw>
          </a:effectLst>
          <a:sp3d/>
        </c:spPr>
      </c:pivotFmt>
      <c:pivotFmt>
        <c:idx val="93"/>
        <c:spPr>
          <a:solidFill>
            <a:schemeClr val="accent1"/>
          </a:solidFill>
          <a:ln>
            <a:noFill/>
          </a:ln>
          <a:effectLst>
            <a:outerShdw blurRad="254000" sx="102000" sy="102000" algn="ctr" rotWithShape="0">
              <a:prstClr val="black">
                <a:alpha val="20000"/>
              </a:prstClr>
            </a:outerShdw>
          </a:effectLst>
          <a:sp3d/>
        </c:spPr>
      </c:pivotFmt>
      <c:pivotFmt>
        <c:idx val="94"/>
        <c:spPr>
          <a:solidFill>
            <a:schemeClr val="accent1"/>
          </a:solidFill>
          <a:ln>
            <a:noFill/>
          </a:ln>
          <a:effectLst>
            <a:outerShdw blurRad="254000" sx="102000" sy="102000" algn="ctr" rotWithShape="0">
              <a:prstClr val="black">
                <a:alpha val="20000"/>
              </a:prstClr>
            </a:outerShdw>
          </a:effectLst>
          <a:sp3d/>
        </c:spPr>
      </c:pivotFmt>
      <c:pivotFmt>
        <c:idx val="95"/>
        <c:spPr>
          <a:solidFill>
            <a:schemeClr val="accent1"/>
          </a:solidFill>
          <a:ln>
            <a:noFill/>
          </a:ln>
          <a:effectLst>
            <a:outerShdw blurRad="254000" sx="102000" sy="102000" algn="ctr" rotWithShape="0">
              <a:prstClr val="black">
                <a:alpha val="20000"/>
              </a:prstClr>
            </a:outerShdw>
          </a:effectLst>
          <a:sp3d/>
        </c:spPr>
      </c:pivotFmt>
      <c:pivotFmt>
        <c:idx val="9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
          <c:w val="0.87611551343907113"/>
          <c:h val="1"/>
        </c:manualLayout>
      </c:layout>
      <c:pie3DChart>
        <c:varyColors val="1"/>
        <c:ser>
          <c:idx val="0"/>
          <c:order val="0"/>
          <c:tx>
            <c:strRef>
              <c:f>SLICER_SETTINGS!$B$6</c:f>
              <c:strCache>
                <c:ptCount val="1"/>
                <c:pt idx="0">
                  <c:v>Sum of Quantity</c:v>
                </c:pt>
              </c:strCache>
            </c:strRef>
          </c:tx>
          <c:explosion val="3"/>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12C-4C64-AD71-5C682CB8D5A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12C-4C64-AD71-5C682CB8D5A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12C-4C64-AD71-5C682CB8D5A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12C-4C64-AD71-5C682CB8D5A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912C-4C64-AD71-5C682CB8D5A6}"/>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912C-4C64-AD71-5C682CB8D5A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912C-4C64-AD71-5C682CB8D5A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912C-4C64-AD71-5C682CB8D5A6}"/>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912C-4C64-AD71-5C682CB8D5A6}"/>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912C-4C64-AD71-5C682CB8D5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SLICER_SETTINGS!$A$7:$A$11</c:f>
              <c:multiLvlStrCache>
                <c:ptCount val="2"/>
                <c:lvl>
                  <c:pt idx="0">
                    <c:v>Furniture</c:v>
                  </c:pt>
                  <c:pt idx="1">
                    <c:v>Furniture</c:v>
                  </c:pt>
                </c:lvl>
                <c:lvl>
                  <c:pt idx="0">
                    <c:v>Chair</c:v>
                  </c:pt>
                  <c:pt idx="1">
                    <c:v>Sofa</c:v>
                  </c:pt>
                </c:lvl>
              </c:multiLvlStrCache>
            </c:multiLvlStrRef>
          </c:cat>
          <c:val>
            <c:numRef>
              <c:f>SLICER_SETTINGS!$B$7:$B$11</c:f>
              <c:numCache>
                <c:formatCode>General</c:formatCode>
                <c:ptCount val="2"/>
                <c:pt idx="0">
                  <c:v>11</c:v>
                </c:pt>
                <c:pt idx="1">
                  <c:v>12</c:v>
                </c:pt>
              </c:numCache>
            </c:numRef>
          </c:val>
          <c:extLst>
            <c:ext xmlns:c16="http://schemas.microsoft.com/office/drawing/2014/chart" uri="{C3380CC4-5D6E-409C-BE32-E72D297353CC}">
              <c16:uniqueId val="{0000000A-2F74-48CF-956F-0C5590830430}"/>
            </c:ext>
          </c:extLst>
        </c:ser>
        <c:ser>
          <c:idx val="1"/>
          <c:order val="1"/>
          <c:tx>
            <c:strRef>
              <c:f>SLICER_SETTINGS!$C$6</c:f>
              <c:strCache>
                <c:ptCount val="1"/>
                <c:pt idx="0">
                  <c:v>Sum of Unit_Price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912C-4C64-AD71-5C682CB8D5A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912C-4C64-AD71-5C682CB8D5A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912C-4C64-AD71-5C682CB8D5A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912C-4C64-AD71-5C682CB8D5A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912C-4C64-AD71-5C682CB8D5A6}"/>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912C-4C64-AD71-5C682CB8D5A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912C-4C64-AD71-5C682CB8D5A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912C-4C64-AD71-5C682CB8D5A6}"/>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912C-4C64-AD71-5C682CB8D5A6}"/>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7-912C-4C64-AD71-5C682CB8D5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SLICER_SETTINGS!$A$7:$A$11</c:f>
              <c:multiLvlStrCache>
                <c:ptCount val="2"/>
                <c:lvl>
                  <c:pt idx="0">
                    <c:v>Furniture</c:v>
                  </c:pt>
                  <c:pt idx="1">
                    <c:v>Furniture</c:v>
                  </c:pt>
                </c:lvl>
                <c:lvl>
                  <c:pt idx="0">
                    <c:v>Chair</c:v>
                  </c:pt>
                  <c:pt idx="1">
                    <c:v>Sofa</c:v>
                  </c:pt>
                </c:lvl>
              </c:multiLvlStrCache>
            </c:multiLvlStrRef>
          </c:cat>
          <c:val>
            <c:numRef>
              <c:f>SLICER_SETTINGS!$C$7:$C$11</c:f>
              <c:numCache>
                <c:formatCode>General</c:formatCode>
                <c:ptCount val="2"/>
                <c:pt idx="0">
                  <c:v>5000</c:v>
                </c:pt>
                <c:pt idx="1">
                  <c:v>90000</c:v>
                </c:pt>
              </c:numCache>
            </c:numRef>
          </c:val>
          <c:extLst>
            <c:ext xmlns:c16="http://schemas.microsoft.com/office/drawing/2014/chart" uri="{C3380CC4-5D6E-409C-BE32-E72D297353CC}">
              <c16:uniqueId val="{0000000D-2F74-48CF-956F-0C5590830430}"/>
            </c:ext>
          </c:extLst>
        </c:ser>
        <c:ser>
          <c:idx val="2"/>
          <c:order val="2"/>
          <c:tx>
            <c:strRef>
              <c:f>SLICER_SETTINGS!$D$6</c:f>
              <c:strCache>
                <c:ptCount val="1"/>
                <c:pt idx="0">
                  <c:v>Sum of Total_Sales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9-EDAF-45F1-9641-E9352F530F7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B-EDAF-45F1-9641-E9352F530F7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D-EDAF-45F1-9641-E9352F530F7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F-EDAF-45F1-9641-E9352F530F7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1-EDAF-45F1-9641-E9352F530F7E}"/>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3-EDAF-45F1-9641-E9352F530F7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5-EDAF-45F1-9641-E9352F530F7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SLICER_SETTINGS!$A$7:$A$11</c:f>
              <c:multiLvlStrCache>
                <c:ptCount val="2"/>
                <c:lvl>
                  <c:pt idx="0">
                    <c:v>Furniture</c:v>
                  </c:pt>
                  <c:pt idx="1">
                    <c:v>Furniture</c:v>
                  </c:pt>
                </c:lvl>
                <c:lvl>
                  <c:pt idx="0">
                    <c:v>Chair</c:v>
                  </c:pt>
                  <c:pt idx="1">
                    <c:v>Sofa</c:v>
                  </c:pt>
                </c:lvl>
              </c:multiLvlStrCache>
            </c:multiLvlStrRef>
          </c:cat>
          <c:val>
            <c:numRef>
              <c:f>SLICER_SETTINGS!$D$7:$D$11</c:f>
              <c:numCache>
                <c:formatCode>General</c:formatCode>
                <c:ptCount val="2"/>
                <c:pt idx="0">
                  <c:v>27500</c:v>
                </c:pt>
                <c:pt idx="1">
                  <c:v>360000</c:v>
                </c:pt>
              </c:numCache>
            </c:numRef>
          </c:val>
          <c:extLst>
            <c:ext xmlns:c16="http://schemas.microsoft.com/office/drawing/2014/chart" uri="{C3380CC4-5D6E-409C-BE32-E72D297353CC}">
              <c16:uniqueId val="{00000042-8CB1-43B6-ACEE-0EF590E1B204}"/>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9773128452551478"/>
          <c:y val="1.3281605668929757E-2"/>
          <c:w val="0.16380161765743331"/>
          <c:h val="0.3861013522118394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TABLE.xlsx]SLICER_SETTINGS!PivotTable4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5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
        <c:idx val="5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s>
    <c:plotArea>
      <c:layout/>
      <c:pieChart>
        <c:varyColors val="1"/>
        <c:ser>
          <c:idx val="0"/>
          <c:order val="0"/>
          <c:tx>
            <c:strRef>
              <c:f>SLICER_SETTINGS!$B$22</c:f>
              <c:strCache>
                <c:ptCount val="1"/>
                <c:pt idx="0">
                  <c:v>Total</c:v>
                </c:pt>
              </c:strCache>
            </c:strRef>
          </c:tx>
          <c:dPt>
            <c:idx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1-EAAF-44DF-8620-3B1CC0FA17F4}"/>
              </c:ext>
            </c:extLst>
          </c:dPt>
          <c:dPt>
            <c:idx val="1"/>
            <c:bubble3D val="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3-EAAF-44DF-8620-3B1CC0FA17F4}"/>
              </c:ext>
            </c:extLst>
          </c:dPt>
          <c:dPt>
            <c:idx val="2"/>
            <c:bubble3D val="0"/>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extLst>
              <c:ext xmlns:c16="http://schemas.microsoft.com/office/drawing/2014/chart" uri="{C3380CC4-5D6E-409C-BE32-E72D297353CC}">
                <c16:uniqueId val="{00000005-EAAF-44DF-8620-3B1CC0FA17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SLICER_SETTINGS!$A$23:$A$26</c:f>
              <c:strCache>
                <c:ptCount val="3"/>
                <c:pt idx="0">
                  <c:v>Appliances</c:v>
                </c:pt>
                <c:pt idx="1">
                  <c:v>Electronics</c:v>
                </c:pt>
                <c:pt idx="2">
                  <c:v>Furniture</c:v>
                </c:pt>
              </c:strCache>
            </c:strRef>
          </c:cat>
          <c:val>
            <c:numRef>
              <c:f>SLICER_SETTINGS!$B$23:$B$26</c:f>
              <c:numCache>
                <c:formatCode>General</c:formatCode>
                <c:ptCount val="3"/>
                <c:pt idx="0">
                  <c:v>5644000</c:v>
                </c:pt>
                <c:pt idx="1">
                  <c:v>7540000</c:v>
                </c:pt>
                <c:pt idx="2">
                  <c:v>869500</c:v>
                </c:pt>
              </c:numCache>
            </c:numRef>
          </c:val>
          <c:extLst>
            <c:ext xmlns:c16="http://schemas.microsoft.com/office/drawing/2014/chart" uri="{C3380CC4-5D6E-409C-BE32-E72D297353CC}">
              <c16:uniqueId val="{00000037-42D7-4614-B5B0-8AE895E193B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944880</xdr:colOff>
      <xdr:row>62</xdr:row>
      <xdr:rowOff>0</xdr:rowOff>
    </xdr:from>
    <xdr:to>
      <xdr:col>9</xdr:col>
      <xdr:colOff>198120</xdr:colOff>
      <xdr:row>79</xdr:row>
      <xdr:rowOff>152400</xdr:rowOff>
    </xdr:to>
    <xdr:graphicFrame macro="">
      <xdr:nvGraphicFramePr>
        <xdr:cNvPr id="2" name="Chart 1">
          <a:extLst>
            <a:ext uri="{FF2B5EF4-FFF2-40B4-BE49-F238E27FC236}">
              <a16:creationId xmlns:a16="http://schemas.microsoft.com/office/drawing/2014/main" id="{2A13A486-EF3B-75EC-1782-099FD286F8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411480</xdr:colOff>
      <xdr:row>43</xdr:row>
      <xdr:rowOff>83820</xdr:rowOff>
    </xdr:from>
    <xdr:to>
      <xdr:col>11</xdr:col>
      <xdr:colOff>426720</xdr:colOff>
      <xdr:row>62</xdr:row>
      <xdr:rowOff>7620</xdr:rowOff>
    </xdr:to>
    <xdr:graphicFrame macro="">
      <xdr:nvGraphicFramePr>
        <xdr:cNvPr id="3" name="Chart 2">
          <a:extLst>
            <a:ext uri="{FF2B5EF4-FFF2-40B4-BE49-F238E27FC236}">
              <a16:creationId xmlns:a16="http://schemas.microsoft.com/office/drawing/2014/main" id="{41D7FF00-A97A-1C41-D692-8DB03630D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22860</xdr:colOff>
      <xdr:row>62</xdr:row>
      <xdr:rowOff>30480</xdr:rowOff>
    </xdr:from>
    <xdr:to>
      <xdr:col>5</xdr:col>
      <xdr:colOff>883920</xdr:colOff>
      <xdr:row>79</xdr:row>
      <xdr:rowOff>114300</xdr:rowOff>
    </xdr:to>
    <xdr:graphicFrame macro="">
      <xdr:nvGraphicFramePr>
        <xdr:cNvPr id="4" name="Chart 3">
          <a:extLst>
            <a:ext uri="{FF2B5EF4-FFF2-40B4-BE49-F238E27FC236}">
              <a16:creationId xmlns:a16="http://schemas.microsoft.com/office/drawing/2014/main" id="{FBC833E6-7EF4-F7EA-15AF-0B9DADCAA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39</xdr:row>
      <xdr:rowOff>60960</xdr:rowOff>
    </xdr:from>
    <xdr:to>
      <xdr:col>3</xdr:col>
      <xdr:colOff>662940</xdr:colOff>
      <xdr:row>43</xdr:row>
      <xdr:rowOff>7621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71A4D60A-1800-9BC4-6EA8-D34AAE51EE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100" y="6896100"/>
              <a:ext cx="3787140" cy="647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42</xdr:row>
      <xdr:rowOff>167640</xdr:rowOff>
    </xdr:from>
    <xdr:to>
      <xdr:col>3</xdr:col>
      <xdr:colOff>655320</xdr:colOff>
      <xdr:row>60</xdr:row>
      <xdr:rowOff>160020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6EC63AB9-244A-7C75-6F1C-D41F0533523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988820" y="7528560"/>
              <a:ext cx="1828800" cy="3147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60960</xdr:colOff>
      <xdr:row>1</xdr:row>
      <xdr:rowOff>38100</xdr:rowOff>
    </xdr:from>
    <xdr:to>
      <xdr:col>9</xdr:col>
      <xdr:colOff>7620</xdr:colOff>
      <xdr:row>16</xdr:row>
      <xdr:rowOff>0</xdr:rowOff>
    </xdr:to>
    <xdr:graphicFrame macro="">
      <xdr:nvGraphicFramePr>
        <xdr:cNvPr id="2" name="Chart 1">
          <a:extLst>
            <a:ext uri="{FF2B5EF4-FFF2-40B4-BE49-F238E27FC236}">
              <a16:creationId xmlns:a16="http://schemas.microsoft.com/office/drawing/2014/main" id="{8C38E94C-6CB8-4B8D-41D4-029CF0D45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7</xdr:row>
      <xdr:rowOff>38100</xdr:rowOff>
    </xdr:from>
    <xdr:to>
      <xdr:col>2</xdr:col>
      <xdr:colOff>60960</xdr:colOff>
      <xdr:row>15</xdr:row>
      <xdr:rowOff>106680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5DF717B-9FDB-B899-FA3D-DFA41B2BCBD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1402080"/>
              <a:ext cx="199644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15240</xdr:colOff>
      <xdr:row>0</xdr:row>
      <xdr:rowOff>304800</xdr:rowOff>
    </xdr:from>
    <xdr:to>
      <xdr:col>16</xdr:col>
      <xdr:colOff>133350</xdr:colOff>
      <xdr:row>16</xdr:row>
      <xdr:rowOff>7620</xdr:rowOff>
    </xdr:to>
    <xdr:graphicFrame macro="">
      <xdr:nvGraphicFramePr>
        <xdr:cNvPr id="4" name="Chart 3">
          <a:extLst>
            <a:ext uri="{FF2B5EF4-FFF2-40B4-BE49-F238E27FC236}">
              <a16:creationId xmlns:a16="http://schemas.microsoft.com/office/drawing/2014/main" id="{892B5CC3-1E0F-C870-B564-453870220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29121</xdr:colOff>
      <xdr:row>4</xdr:row>
      <xdr:rowOff>166280</xdr:rowOff>
    </xdr:from>
    <xdr:to>
      <xdr:col>11</xdr:col>
      <xdr:colOff>0</xdr:colOff>
      <xdr:row>20</xdr:row>
      <xdr:rowOff>13607</xdr:rowOff>
    </xdr:to>
    <xdr:graphicFrame macro="">
      <xdr:nvGraphicFramePr>
        <xdr:cNvPr id="3" name="Chart 2">
          <a:extLst>
            <a:ext uri="{FF2B5EF4-FFF2-40B4-BE49-F238E27FC236}">
              <a16:creationId xmlns:a16="http://schemas.microsoft.com/office/drawing/2014/main" id="{FDDB56E8-A778-EE4F-9898-E77FD2081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27213</xdr:colOff>
      <xdr:row>20</xdr:row>
      <xdr:rowOff>26534</xdr:rowOff>
    </xdr:from>
    <xdr:to>
      <xdr:col>10</xdr:col>
      <xdr:colOff>27213</xdr:colOff>
      <xdr:row>34</xdr:row>
      <xdr:rowOff>20411</xdr:rowOff>
    </xdr:to>
    <xdr:graphicFrame macro="">
      <xdr:nvGraphicFramePr>
        <xdr:cNvPr id="6" name="Chart 5">
          <a:extLst>
            <a:ext uri="{FF2B5EF4-FFF2-40B4-BE49-F238E27FC236}">
              <a16:creationId xmlns:a16="http://schemas.microsoft.com/office/drawing/2014/main" id="{D43CB516-4ABA-79A7-1338-1DBC86480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14694</xdr:colOff>
      <xdr:row>0</xdr:row>
      <xdr:rowOff>0</xdr:rowOff>
    </xdr:from>
    <xdr:to>
      <xdr:col>1</xdr:col>
      <xdr:colOff>1027339</xdr:colOff>
      <xdr:row>4</xdr:row>
      <xdr:rowOff>156483</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B7350E96-5D2E-D73E-F3F8-0D00C2716E4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694" y="0"/>
              <a:ext cx="2278109" cy="864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1027338</xdr:colOff>
      <xdr:row>0</xdr:row>
      <xdr:rowOff>34019</xdr:rowOff>
    </xdr:from>
    <xdr:to>
      <xdr:col>4</xdr:col>
      <xdr:colOff>29120</xdr:colOff>
      <xdr:row>3</xdr:row>
      <xdr:rowOff>74839</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55DACD37-DA0D-5627-40BB-0801F926CB5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92802" y="34019"/>
              <a:ext cx="2532836" cy="571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48985</xdr:colOff>
      <xdr:row>0</xdr:row>
      <xdr:rowOff>13609</xdr:rowOff>
    </xdr:from>
    <xdr:to>
      <xdr:col>12</xdr:col>
      <xdr:colOff>0</xdr:colOff>
      <xdr:row>3</xdr:row>
      <xdr:rowOff>74839</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583F325F-3D9A-A118-833E-8CFECCABA1B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845503" y="13609"/>
              <a:ext cx="5870122" cy="591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176893</xdr:colOff>
      <xdr:row>21</xdr:row>
      <xdr:rowOff>0</xdr:rowOff>
    </xdr:from>
    <xdr:to>
      <xdr:col>3</xdr:col>
      <xdr:colOff>883103</xdr:colOff>
      <xdr:row>34</xdr:row>
      <xdr:rowOff>53068</xdr:rowOff>
    </xdr:to>
    <mc:AlternateContent xmlns:mc="http://schemas.openxmlformats.org/markup-compatibility/2006" xmlns:a14="http://schemas.microsoft.com/office/drawing/2010/main">
      <mc:Choice Requires="a14">
        <xdr:graphicFrame macro="">
          <xdr:nvGraphicFramePr>
            <xdr:cNvPr id="10" name="Product 2">
              <a:extLst>
                <a:ext uri="{FF2B5EF4-FFF2-40B4-BE49-F238E27FC236}">
                  <a16:creationId xmlns:a16="http://schemas.microsoft.com/office/drawing/2014/main" id="{5A46572C-1DFC-217C-786F-B006DB45C8E2}"/>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2646589" y="371475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8</xdr:row>
      <xdr:rowOff>30480</xdr:rowOff>
    </xdr:from>
    <xdr:to>
      <xdr:col>4</xdr:col>
      <xdr:colOff>137160</xdr:colOff>
      <xdr:row>16</xdr:row>
      <xdr:rowOff>0</xdr:rowOff>
    </xdr:to>
    <mc:AlternateContent xmlns:mc="http://schemas.openxmlformats.org/markup-compatibility/2006" xmlns:tsle="http://schemas.microsoft.com/office/drawing/2012/timeslicer">
      <mc:Choice Requires="tsle">
        <xdr:graphicFrame macro="">
          <xdr:nvGraphicFramePr>
            <xdr:cNvPr id="3" name="Order_Date">
              <a:extLst>
                <a:ext uri="{FF2B5EF4-FFF2-40B4-BE49-F238E27FC236}">
                  <a16:creationId xmlns:a16="http://schemas.microsoft.com/office/drawing/2014/main" id="{027BFA93-F9DE-F818-0136-FCE0C8A007C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0" y="14325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refreshedDate="46065.594639351853" createdVersion="8" refreshedVersion="8" minRefreshableVersion="3" recordCount="30" xr:uid="{F71941B3-5357-4FB1-BB88-22BD11274397}">
  <cacheSource type="worksheet">
    <worksheetSource name="Sales"/>
  </cacheSource>
  <cacheFields count="10">
    <cacheField name="Date" numFmtId="14">
      <sharedItems containsSemiMixedTypes="0" containsNonDate="0" containsDate="1" containsString="0" minDate="2026-01-01T00:00:00" maxDate="2026-01-16T00:00:00"/>
    </cacheField>
    <cacheField name="Region" numFmtId="0">
      <sharedItems count="5">
        <s v="North"/>
        <s v="West"/>
        <s v="South"/>
        <s v="East"/>
        <s v="Formula1" f="1"/>
      </sharedItems>
    </cacheField>
    <cacheField name="City" numFmtId="0">
      <sharedItems/>
    </cacheField>
    <cacheField name="Salesperson" numFmtId="0">
      <sharedItems count="4">
        <s v="Amit"/>
        <s v="Riya"/>
        <s v="Arjun"/>
        <s v="Neha"/>
      </sharedItems>
    </cacheField>
    <cacheField name="Category" numFmtId="0">
      <sharedItems count="3">
        <s v="Electronics"/>
        <s v="Clothing"/>
        <s v="Furniture"/>
      </sharedItems>
    </cacheField>
    <cacheField name="Product" numFmtId="0">
      <sharedItems count="10">
        <s v="Mobile"/>
        <s v="T-Shirt"/>
        <s v="Laptop"/>
        <s v="Chair"/>
        <s v="Tablet"/>
        <s v="Jeans"/>
        <s v="Table"/>
        <s v="Jacket"/>
        <s v="Sofa"/>
        <s v="Formula1" f="1"/>
      </sharedItems>
    </cacheField>
    <cacheField name="Units Sold" numFmtId="0">
      <sharedItems containsSemiMixedTypes="0" containsString="0" containsNumber="1" containsInteger="1" minValue="1" maxValue="25"/>
    </cacheField>
    <cacheField name="Unit Price" numFmtId="0">
      <sharedItems containsSemiMixedTypes="0" containsString="0" containsNumber="1" containsInteger="1" minValue="500" maxValue="60000"/>
    </cacheField>
    <cacheField name="Revenue" numFmtId="0">
      <sharedItems containsSemiMixedTypes="0" containsString="0" containsNumber="1" containsInteger="1" minValue="9000" maxValue="165000"/>
    </cacheField>
    <cacheField name="Payment Mode" numFmtId="0">
      <sharedItems/>
    </cacheField>
  </cacheFields>
  <calculatedItems count="2">
    <calculatedItem>
      <pivotArea cacheIndex="1" outline="0" fieldPosition="0">
        <references count="1">
          <reference field="1" count="1">
            <x v="4"/>
          </reference>
        </references>
      </pivotArea>
    </calculatedItem>
    <calculatedItem formula=" 0">
      <pivotArea cacheIndex="1" outline="0" fieldPosition="0">
        <references count="1">
          <reference field="5" count="1">
            <x v="9"/>
          </reference>
        </references>
      </pivotArea>
    </calculatedItem>
  </calculatedItem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refreshedDate="46065.945954976851" createdVersion="8" refreshedVersion="8" minRefreshableVersion="3" recordCount="30" xr:uid="{5589B140-BCC7-4293-9718-4D8291D64A6A}">
  <cacheSource type="worksheet">
    <worksheetSource name="Sales"/>
  </cacheSource>
  <cacheFields count="10">
    <cacheField name="Date" numFmtId="14">
      <sharedItems containsSemiMixedTypes="0" containsNonDate="0" containsDate="1" containsString="0" minDate="2026-01-01T00:00:00" maxDate="2026-01-16T00:00:00"/>
    </cacheField>
    <cacheField name="Region" numFmtId="0">
      <sharedItems count="4">
        <s v="North"/>
        <s v="West"/>
        <s v="South"/>
        <s v="East"/>
      </sharedItems>
    </cacheField>
    <cacheField name="City" numFmtId="0">
      <sharedItems count="12">
        <s v="Delhi"/>
        <s v="Mumbai"/>
        <s v="Bangalore"/>
        <s v="Kolkata"/>
        <s v="Pune"/>
        <s v="Chennai"/>
        <s v="Jaipur"/>
        <s v="Guwahati"/>
        <s v="Surat"/>
        <s v="Hyderabad"/>
        <s v="Patna"/>
        <s v="Chandigarh"/>
      </sharedItems>
    </cacheField>
    <cacheField name="Salesperson" numFmtId="0">
      <sharedItems/>
    </cacheField>
    <cacheField name="Category" numFmtId="0">
      <sharedItems count="3">
        <s v="Electronics"/>
        <s v="Clothing"/>
        <s v="Furniture"/>
      </sharedItems>
    </cacheField>
    <cacheField name="Product" numFmtId="0">
      <sharedItems count="9">
        <s v="Mobile"/>
        <s v="T-Shirt"/>
        <s v="Laptop"/>
        <s v="Chair"/>
        <s v="Tablet"/>
        <s v="Jeans"/>
        <s v="Table"/>
        <s v="Jacket"/>
        <s v="Sofa"/>
      </sharedItems>
    </cacheField>
    <cacheField name="Units Sold" numFmtId="0">
      <sharedItems containsSemiMixedTypes="0" containsString="0" containsNumber="1" containsInteger="1" minValue="1" maxValue="25"/>
    </cacheField>
    <cacheField name="Unit Price" numFmtId="0">
      <sharedItems containsSemiMixedTypes="0" containsString="0" containsNumber="1" containsInteger="1" minValue="500" maxValue="60000"/>
    </cacheField>
    <cacheField name="Revenue" numFmtId="0">
      <sharedItems containsSemiMixedTypes="0" containsString="0" containsNumber="1" containsInteger="1" minValue="9000" maxValue="165000"/>
    </cacheField>
    <cacheField name="Payment Mode" numFmtId="0">
      <sharedItems/>
    </cacheField>
  </cacheFields>
  <extLst>
    <ext xmlns:x14="http://schemas.microsoft.com/office/spreadsheetml/2009/9/main" uri="{725AE2AE-9491-48be-B2B4-4EB974FC3084}">
      <x14:pivotCacheDefinition pivotCacheId="174521517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refreshedDate="46066.875266550924" createdVersion="8" refreshedVersion="8" minRefreshableVersion="3" recordCount="100" xr:uid="{55E05CBD-DCCE-40D2-9C57-A1E5F92A3DAF}">
  <cacheSource type="worksheet">
    <worksheetSource name="sales_data_100_records__1"/>
  </cacheSource>
  <cacheFields count="12">
    <cacheField name="Order_ID" numFmtId="0">
      <sharedItems containsSemiMixedTypes="0" containsString="0" containsNumber="1" containsInteger="1" minValue="1001" maxValue="1100"/>
    </cacheField>
    <cacheField name="Order_Date" numFmtId="14">
      <sharedItems containsSemiMixedTypes="0" containsNonDate="0" containsDate="1" containsString="0" minDate="2025-01-02T00:00:00" maxDate="2025-06-30T00:00:00" count="83">
        <d v="2025-01-15T00:00:00"/>
        <d v="2025-06-03T00:00:00"/>
        <d v="2025-06-25T00:00:00"/>
        <d v="2025-03-16T00:00:00"/>
        <d v="2025-04-29T00:00:00"/>
        <d v="2025-02-19T00:00:00"/>
        <d v="2025-01-02T00:00:00"/>
        <d v="2025-02-27T00:00:00"/>
        <d v="2025-03-15T00:00:00"/>
        <d v="2025-05-18T00:00:00"/>
        <d v="2025-03-27T00:00:00"/>
        <d v="2025-01-23T00:00:00"/>
        <d v="2025-02-07T00:00:00"/>
        <d v="2025-05-28T00:00:00"/>
        <d v="2025-02-11T00:00:00"/>
        <d v="2025-05-29T00:00:00"/>
        <d v="2025-03-29T00:00:00"/>
        <d v="2025-04-19T00:00:00"/>
        <d v="2025-06-11T00:00:00"/>
        <d v="2025-03-11T00:00:00"/>
        <d v="2025-06-29T00:00:00"/>
        <d v="2025-04-27T00:00:00"/>
        <d v="2025-04-12T00:00:00"/>
        <d v="2025-04-04T00:00:00"/>
        <d v="2025-05-16T00:00:00"/>
        <d v="2025-06-07T00:00:00"/>
        <d v="2025-06-24T00:00:00"/>
        <d v="2025-06-08T00:00:00"/>
        <d v="2025-03-01T00:00:00"/>
        <d v="2025-05-21T00:00:00"/>
        <d v="2025-01-07T00:00:00"/>
        <d v="2025-06-04T00:00:00"/>
        <d v="2025-06-27T00:00:00"/>
        <d v="2025-04-02T00:00:00"/>
        <d v="2025-04-14T00:00:00"/>
        <d v="2025-06-05T00:00:00"/>
        <d v="2025-03-13T00:00:00"/>
        <d v="2025-06-02T00:00:00"/>
        <d v="2025-05-05T00:00:00"/>
        <d v="2025-02-26T00:00:00"/>
        <d v="2025-04-17T00:00:00"/>
        <d v="2025-01-06T00:00:00"/>
        <d v="2025-06-01T00:00:00"/>
        <d v="2025-03-12T00:00:00"/>
        <d v="2025-03-08T00:00:00"/>
        <d v="2025-05-15T00:00:00"/>
        <d v="2025-05-30T00:00:00"/>
        <d v="2025-05-12T00:00:00"/>
        <d v="2025-06-13T00:00:00"/>
        <d v="2025-04-26T00:00:00"/>
        <d v="2025-01-31T00:00:00"/>
        <d v="2025-05-24T00:00:00"/>
        <d v="2025-02-08T00:00:00"/>
        <d v="2025-04-01T00:00:00"/>
        <d v="2025-05-03T00:00:00"/>
        <d v="2025-01-05T00:00:00"/>
        <d v="2025-03-31T00:00:00"/>
        <d v="2025-04-21T00:00:00"/>
        <d v="2025-05-22T00:00:00"/>
        <d v="2025-03-24T00:00:00"/>
        <d v="2025-02-18T00:00:00"/>
        <d v="2025-03-14T00:00:00"/>
        <d v="2025-06-19T00:00:00"/>
        <d v="2025-02-14T00:00:00"/>
        <d v="2025-01-21T00:00:00"/>
        <d v="2025-06-14T00:00:00"/>
        <d v="2025-06-06T00:00:00"/>
        <d v="2025-02-25T00:00:00"/>
        <d v="2025-03-19T00:00:00"/>
        <d v="2025-06-26T00:00:00"/>
        <d v="2025-04-03T00:00:00"/>
        <d v="2025-03-02T00:00:00"/>
        <d v="2025-03-22T00:00:00"/>
        <d v="2025-06-21T00:00:00"/>
        <d v="2025-01-16T00:00:00"/>
        <d v="2025-03-04T00:00:00"/>
        <d v="2025-01-12T00:00:00"/>
        <d v="2025-03-05T00:00:00"/>
        <d v="2025-01-14T00:00:00"/>
        <d v="2025-06-09T00:00:00"/>
        <d v="2025-06-10T00:00:00"/>
        <d v="2025-01-18T00:00:00"/>
        <d v="2025-04-18T00:00:00"/>
      </sharedItems>
      <fieldGroup par="11"/>
    </cacheField>
    <cacheField name="Region" numFmtId="0">
      <sharedItems count="4">
        <s v="North"/>
        <s v="West"/>
        <s v="East"/>
        <s v="South"/>
      </sharedItems>
    </cacheField>
    <cacheField name="Salesperson" numFmtId="0">
      <sharedItems count="6">
        <s v="Priya"/>
        <s v="Rahul"/>
        <s v="Neha"/>
        <s v="Simran"/>
        <s v="Karan"/>
        <s v="Amit"/>
      </sharedItems>
    </cacheField>
    <cacheField name="Product" numFmtId="0">
      <sharedItems count="10">
        <s v="Printer"/>
        <s v="Mobile"/>
        <s v="Headphones"/>
        <s v="Chair"/>
        <s v="Laptop"/>
        <s v="Washing Machine"/>
        <s v="Refrigerator"/>
        <s v="Microwave"/>
        <s v="Sofa"/>
        <s v="Table"/>
      </sharedItems>
    </cacheField>
    <cacheField name="Category" numFmtId="0">
      <sharedItems count="3">
        <s v="Electronics"/>
        <s v="Furniture"/>
        <s v="Appliance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500" maxValue="55000"/>
    </cacheField>
    <cacheField name="Total_Sales" numFmtId="0">
      <sharedItems containsSemiMixedTypes="0" containsString="0" containsNumber="1" containsInteger="1" minValue="4500" maxValue="550000" count="51">
        <n v="15000"/>
        <n v="160000"/>
        <n v="13500"/>
        <n v="550000"/>
        <n v="45000"/>
        <n v="70000"/>
        <n v="315000"/>
        <n v="105000"/>
        <n v="55000"/>
        <n v="20000"/>
        <n v="245000"/>
        <n v="12000"/>
        <n v="60000"/>
        <n v="80000"/>
        <n v="180000"/>
        <n v="14000"/>
        <n v="7500"/>
        <n v="4500"/>
        <n v="330000"/>
        <n v="75000"/>
        <n v="48000"/>
        <n v="10000"/>
        <n v="495000"/>
        <n v="108000"/>
        <n v="135000"/>
        <n v="6000"/>
        <n v="63000"/>
        <n v="150000"/>
        <n v="275000"/>
        <n v="100000"/>
        <n v="210000"/>
        <n v="220000"/>
        <n v="120000"/>
        <n v="440000"/>
        <n v="30000"/>
        <n v="22500"/>
        <n v="35000"/>
        <n v="10500"/>
        <n v="110000"/>
        <n v="5000"/>
        <n v="360000"/>
        <n v="25000"/>
        <n v="21000"/>
        <n v="405000"/>
        <n v="165000"/>
        <n v="49000"/>
        <n v="72000"/>
        <n v="90000"/>
        <n v="225000"/>
        <n v="385000"/>
        <n v="84000"/>
      </sharedItems>
    </cacheField>
    <cacheField name="Payment_Mode" numFmtId="0">
      <sharedItems count="3">
        <s v="Cash"/>
        <s v="Credit Card"/>
        <s v="UPI"/>
      </sharedItems>
    </cacheField>
    <cacheField name="Days (Order_Date)" numFmtId="0" databaseField="0">
      <fieldGroup base="1">
        <rangePr groupBy="days" startDate="2025-01-02T00:00:00" endDate="2025-06-30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5"/>
        </groupItems>
      </fieldGroup>
    </cacheField>
    <cacheField name="Months (Order_Date)" numFmtId="0" databaseField="0">
      <fieldGroup base="1">
        <rangePr groupBy="months" startDate="2025-01-02T00:00:00" endDate="2025-06-30T00:00:00"/>
        <groupItems count="14">
          <s v="&lt;02-01-2025"/>
          <s v="Jan"/>
          <s v="Feb"/>
          <s v="Mar"/>
          <s v="Apr"/>
          <s v="May"/>
          <s v="Jun"/>
          <s v="Jul"/>
          <s v="Aug"/>
          <s v="Sep"/>
          <s v="Oct"/>
          <s v="Nov"/>
          <s v="Dec"/>
          <s v="&gt;30-06-2025"/>
        </groupItems>
      </fieldGroup>
    </cacheField>
  </cacheFields>
  <extLst>
    <ext xmlns:x14="http://schemas.microsoft.com/office/spreadsheetml/2009/9/main" uri="{725AE2AE-9491-48be-B2B4-4EB974FC3084}">
      <x14:pivotCacheDefinition pivotCacheId="13879990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6-01-01T00:00:00"/>
    <x v="0"/>
    <s v="Delhi"/>
    <x v="0"/>
    <x v="0"/>
    <x v="0"/>
    <n v="5"/>
    <n v="15000"/>
    <n v="75000"/>
    <s v="UPI"/>
  </r>
  <r>
    <d v="2026-01-01T00:00:00"/>
    <x v="1"/>
    <s v="Mumbai"/>
    <x v="1"/>
    <x v="1"/>
    <x v="1"/>
    <n v="20"/>
    <n v="500"/>
    <n v="10000"/>
    <s v="Cash"/>
  </r>
  <r>
    <d v="2026-01-02T00:00:00"/>
    <x v="2"/>
    <s v="Bangalore"/>
    <x v="2"/>
    <x v="0"/>
    <x v="2"/>
    <n v="3"/>
    <n v="55000"/>
    <n v="165000"/>
    <s v="Card"/>
  </r>
  <r>
    <d v="2026-01-02T00:00:00"/>
    <x v="3"/>
    <s v="Kolkata"/>
    <x v="3"/>
    <x v="2"/>
    <x v="3"/>
    <n v="10"/>
    <n v="2000"/>
    <n v="20000"/>
    <s v="UPI"/>
  </r>
  <r>
    <d v="2026-01-03T00:00:00"/>
    <x v="0"/>
    <s v="Delhi"/>
    <x v="0"/>
    <x v="0"/>
    <x v="4"/>
    <n v="4"/>
    <n v="20000"/>
    <n v="80000"/>
    <s v="Card"/>
  </r>
  <r>
    <d v="2026-01-03T00:00:00"/>
    <x v="1"/>
    <s v="Pune"/>
    <x v="1"/>
    <x v="1"/>
    <x v="5"/>
    <n v="8"/>
    <n v="1500"/>
    <n v="12000"/>
    <s v="UPI"/>
  </r>
  <r>
    <d v="2026-01-04T00:00:00"/>
    <x v="2"/>
    <s v="Chennai"/>
    <x v="2"/>
    <x v="2"/>
    <x v="6"/>
    <n v="2"/>
    <n v="7000"/>
    <n v="14000"/>
    <s v="Cash"/>
  </r>
  <r>
    <d v="2026-01-04T00:00:00"/>
    <x v="3"/>
    <s v="Kolkata"/>
    <x v="3"/>
    <x v="0"/>
    <x v="0"/>
    <n v="6"/>
    <n v="14000"/>
    <n v="84000"/>
    <s v="Card"/>
  </r>
  <r>
    <d v="2026-01-05T00:00:00"/>
    <x v="0"/>
    <s v="Jaipur"/>
    <x v="0"/>
    <x v="1"/>
    <x v="7"/>
    <n v="5"/>
    <n v="2500"/>
    <n v="12500"/>
    <s v="UPI"/>
  </r>
  <r>
    <d v="2026-01-05T00:00:00"/>
    <x v="1"/>
    <s v="Mumbai"/>
    <x v="1"/>
    <x v="0"/>
    <x v="2"/>
    <n v="2"/>
    <n v="60000"/>
    <n v="120000"/>
    <s v="Card"/>
  </r>
  <r>
    <d v="2026-01-06T00:00:00"/>
    <x v="2"/>
    <s v="Bangalore"/>
    <x v="2"/>
    <x v="1"/>
    <x v="1"/>
    <n v="15"/>
    <n v="600"/>
    <n v="9000"/>
    <s v="Cash"/>
  </r>
  <r>
    <d v="2026-01-06T00:00:00"/>
    <x v="3"/>
    <s v="Guwahati"/>
    <x v="3"/>
    <x v="2"/>
    <x v="8"/>
    <n v="1"/>
    <n v="25000"/>
    <n v="25000"/>
    <s v="UPI"/>
  </r>
  <r>
    <d v="2026-01-07T00:00:00"/>
    <x v="0"/>
    <s v="Delhi"/>
    <x v="0"/>
    <x v="2"/>
    <x v="3"/>
    <n v="12"/>
    <n v="1800"/>
    <n v="21600"/>
    <s v="Card"/>
  </r>
  <r>
    <d v="2026-01-07T00:00:00"/>
    <x v="1"/>
    <s v="Surat"/>
    <x v="1"/>
    <x v="0"/>
    <x v="4"/>
    <n v="3"/>
    <n v="22000"/>
    <n v="66000"/>
    <s v="UPI"/>
  </r>
  <r>
    <d v="2026-01-08T00:00:00"/>
    <x v="2"/>
    <s v="Hyderabad"/>
    <x v="2"/>
    <x v="0"/>
    <x v="0"/>
    <n v="7"/>
    <n v="15500"/>
    <n v="108500"/>
    <s v="Card"/>
  </r>
  <r>
    <d v="2026-01-08T00:00:00"/>
    <x v="3"/>
    <s v="Patna"/>
    <x v="3"/>
    <x v="1"/>
    <x v="5"/>
    <n v="10"/>
    <n v="1400"/>
    <n v="14000"/>
    <s v="Cash"/>
  </r>
  <r>
    <d v="2026-01-09T00:00:00"/>
    <x v="0"/>
    <s v="Chandigarh"/>
    <x v="0"/>
    <x v="0"/>
    <x v="2"/>
    <n v="1"/>
    <n v="58000"/>
    <n v="58000"/>
    <s v="UPI"/>
  </r>
  <r>
    <d v="2026-01-09T00:00:00"/>
    <x v="1"/>
    <s v="Mumbai"/>
    <x v="1"/>
    <x v="2"/>
    <x v="6"/>
    <n v="4"/>
    <n v="7500"/>
    <n v="30000"/>
    <s v="Card"/>
  </r>
  <r>
    <d v="2026-01-10T00:00:00"/>
    <x v="2"/>
    <s v="Chennai"/>
    <x v="2"/>
    <x v="1"/>
    <x v="7"/>
    <n v="6"/>
    <n v="2600"/>
    <n v="15600"/>
    <s v="UPI"/>
  </r>
  <r>
    <d v="2026-01-10T00:00:00"/>
    <x v="3"/>
    <s v="Kolkata"/>
    <x v="3"/>
    <x v="0"/>
    <x v="0"/>
    <n v="8"/>
    <n v="14500"/>
    <n v="116000"/>
    <s v="Card"/>
  </r>
  <r>
    <d v="2026-01-11T00:00:00"/>
    <x v="0"/>
    <s v="Delhi"/>
    <x v="0"/>
    <x v="0"/>
    <x v="0"/>
    <n v="9"/>
    <n v="15000"/>
    <n v="135000"/>
    <s v="Cash"/>
  </r>
  <r>
    <d v="2026-01-11T00:00:00"/>
    <x v="1"/>
    <s v="Pune"/>
    <x v="1"/>
    <x v="1"/>
    <x v="1"/>
    <n v="25"/>
    <n v="550"/>
    <n v="13750"/>
    <s v="UPI"/>
  </r>
  <r>
    <d v="2026-01-12T00:00:00"/>
    <x v="2"/>
    <s v="Bangalore"/>
    <x v="2"/>
    <x v="2"/>
    <x v="3"/>
    <n v="5"/>
    <n v="2100"/>
    <n v="10500"/>
    <s v="Card"/>
  </r>
  <r>
    <d v="2026-01-12T00:00:00"/>
    <x v="3"/>
    <s v="Guwahati"/>
    <x v="3"/>
    <x v="0"/>
    <x v="2"/>
    <n v="2"/>
    <n v="57000"/>
    <n v="114000"/>
    <s v="UPI"/>
  </r>
  <r>
    <d v="2026-01-13T00:00:00"/>
    <x v="0"/>
    <s v="Jaipur"/>
    <x v="0"/>
    <x v="1"/>
    <x v="5"/>
    <n v="7"/>
    <n v="1600"/>
    <n v="11200"/>
    <s v="Card"/>
  </r>
  <r>
    <d v="2026-01-13T00:00:00"/>
    <x v="1"/>
    <s v="Surat"/>
    <x v="1"/>
    <x v="0"/>
    <x v="0"/>
    <n v="4"/>
    <n v="14800"/>
    <n v="59200"/>
    <s v="Cash"/>
  </r>
  <r>
    <d v="2026-01-14T00:00:00"/>
    <x v="2"/>
    <s v="Hyderabad"/>
    <x v="2"/>
    <x v="2"/>
    <x v="8"/>
    <n v="2"/>
    <n v="27000"/>
    <n v="54000"/>
    <s v="Card"/>
  </r>
  <r>
    <d v="2026-01-14T00:00:00"/>
    <x v="3"/>
    <s v="Patna"/>
    <x v="3"/>
    <x v="1"/>
    <x v="1"/>
    <n v="18"/>
    <n v="500"/>
    <n v="9000"/>
    <s v="UPI"/>
  </r>
  <r>
    <d v="2026-01-15T00:00:00"/>
    <x v="0"/>
    <s v="Delhi"/>
    <x v="0"/>
    <x v="0"/>
    <x v="4"/>
    <n v="5"/>
    <n v="21000"/>
    <n v="105000"/>
    <s v="Card"/>
  </r>
  <r>
    <d v="2026-01-15T00:00:00"/>
    <x v="1"/>
    <s v="Mumbai"/>
    <x v="1"/>
    <x v="2"/>
    <x v="3"/>
    <n v="6"/>
    <n v="1900"/>
    <n v="11400"/>
    <s v="Cas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6-01-01T00:00:00"/>
    <x v="0"/>
    <x v="0"/>
    <s v="Amit"/>
    <x v="0"/>
    <x v="0"/>
    <n v="5"/>
    <n v="15000"/>
    <n v="75000"/>
    <s v="UPI"/>
  </r>
  <r>
    <d v="2026-01-01T00:00:00"/>
    <x v="1"/>
    <x v="1"/>
    <s v="Riya"/>
    <x v="1"/>
    <x v="1"/>
    <n v="20"/>
    <n v="500"/>
    <n v="10000"/>
    <s v="Cash"/>
  </r>
  <r>
    <d v="2026-01-02T00:00:00"/>
    <x v="2"/>
    <x v="2"/>
    <s v="Arjun"/>
    <x v="0"/>
    <x v="2"/>
    <n v="3"/>
    <n v="55000"/>
    <n v="165000"/>
    <s v="Card"/>
  </r>
  <r>
    <d v="2026-01-02T00:00:00"/>
    <x v="3"/>
    <x v="3"/>
    <s v="Neha"/>
    <x v="2"/>
    <x v="3"/>
    <n v="10"/>
    <n v="2000"/>
    <n v="20000"/>
    <s v="UPI"/>
  </r>
  <r>
    <d v="2026-01-03T00:00:00"/>
    <x v="0"/>
    <x v="0"/>
    <s v="Amit"/>
    <x v="0"/>
    <x v="4"/>
    <n v="4"/>
    <n v="20000"/>
    <n v="80000"/>
    <s v="Card"/>
  </r>
  <r>
    <d v="2026-01-03T00:00:00"/>
    <x v="1"/>
    <x v="4"/>
    <s v="Riya"/>
    <x v="1"/>
    <x v="5"/>
    <n v="8"/>
    <n v="1500"/>
    <n v="12000"/>
    <s v="UPI"/>
  </r>
  <r>
    <d v="2026-01-04T00:00:00"/>
    <x v="2"/>
    <x v="5"/>
    <s v="Arjun"/>
    <x v="2"/>
    <x v="6"/>
    <n v="2"/>
    <n v="7000"/>
    <n v="14000"/>
    <s v="Cash"/>
  </r>
  <r>
    <d v="2026-01-04T00:00:00"/>
    <x v="3"/>
    <x v="3"/>
    <s v="Neha"/>
    <x v="0"/>
    <x v="0"/>
    <n v="6"/>
    <n v="14000"/>
    <n v="84000"/>
    <s v="Card"/>
  </r>
  <r>
    <d v="2026-01-05T00:00:00"/>
    <x v="0"/>
    <x v="6"/>
    <s v="Amit"/>
    <x v="1"/>
    <x v="7"/>
    <n v="5"/>
    <n v="2500"/>
    <n v="12500"/>
    <s v="UPI"/>
  </r>
  <r>
    <d v="2026-01-05T00:00:00"/>
    <x v="1"/>
    <x v="1"/>
    <s v="Riya"/>
    <x v="0"/>
    <x v="2"/>
    <n v="2"/>
    <n v="60000"/>
    <n v="120000"/>
    <s v="Card"/>
  </r>
  <r>
    <d v="2026-01-06T00:00:00"/>
    <x v="2"/>
    <x v="2"/>
    <s v="Arjun"/>
    <x v="1"/>
    <x v="1"/>
    <n v="15"/>
    <n v="600"/>
    <n v="9000"/>
    <s v="Cash"/>
  </r>
  <r>
    <d v="2026-01-06T00:00:00"/>
    <x v="3"/>
    <x v="7"/>
    <s v="Neha"/>
    <x v="2"/>
    <x v="8"/>
    <n v="1"/>
    <n v="25000"/>
    <n v="25000"/>
    <s v="UPI"/>
  </r>
  <r>
    <d v="2026-01-07T00:00:00"/>
    <x v="0"/>
    <x v="0"/>
    <s v="Amit"/>
    <x v="2"/>
    <x v="3"/>
    <n v="12"/>
    <n v="1800"/>
    <n v="21600"/>
    <s v="Card"/>
  </r>
  <r>
    <d v="2026-01-07T00:00:00"/>
    <x v="1"/>
    <x v="8"/>
    <s v="Riya"/>
    <x v="0"/>
    <x v="4"/>
    <n v="3"/>
    <n v="22000"/>
    <n v="66000"/>
    <s v="UPI"/>
  </r>
  <r>
    <d v="2026-01-08T00:00:00"/>
    <x v="2"/>
    <x v="9"/>
    <s v="Arjun"/>
    <x v="0"/>
    <x v="0"/>
    <n v="7"/>
    <n v="15500"/>
    <n v="108500"/>
    <s v="Card"/>
  </r>
  <r>
    <d v="2026-01-08T00:00:00"/>
    <x v="3"/>
    <x v="10"/>
    <s v="Neha"/>
    <x v="1"/>
    <x v="5"/>
    <n v="10"/>
    <n v="1400"/>
    <n v="14000"/>
    <s v="Cash"/>
  </r>
  <r>
    <d v="2026-01-09T00:00:00"/>
    <x v="0"/>
    <x v="11"/>
    <s v="Amit"/>
    <x v="0"/>
    <x v="2"/>
    <n v="1"/>
    <n v="58000"/>
    <n v="58000"/>
    <s v="UPI"/>
  </r>
  <r>
    <d v="2026-01-09T00:00:00"/>
    <x v="1"/>
    <x v="1"/>
    <s v="Riya"/>
    <x v="2"/>
    <x v="6"/>
    <n v="4"/>
    <n v="7500"/>
    <n v="30000"/>
    <s v="Card"/>
  </r>
  <r>
    <d v="2026-01-10T00:00:00"/>
    <x v="2"/>
    <x v="5"/>
    <s v="Arjun"/>
    <x v="1"/>
    <x v="7"/>
    <n v="6"/>
    <n v="2600"/>
    <n v="15600"/>
    <s v="UPI"/>
  </r>
  <r>
    <d v="2026-01-10T00:00:00"/>
    <x v="3"/>
    <x v="3"/>
    <s v="Neha"/>
    <x v="0"/>
    <x v="0"/>
    <n v="8"/>
    <n v="14500"/>
    <n v="116000"/>
    <s v="Card"/>
  </r>
  <r>
    <d v="2026-01-11T00:00:00"/>
    <x v="0"/>
    <x v="0"/>
    <s v="Amit"/>
    <x v="0"/>
    <x v="0"/>
    <n v="9"/>
    <n v="15000"/>
    <n v="135000"/>
    <s v="Cash"/>
  </r>
  <r>
    <d v="2026-01-11T00:00:00"/>
    <x v="1"/>
    <x v="4"/>
    <s v="Riya"/>
    <x v="1"/>
    <x v="1"/>
    <n v="25"/>
    <n v="550"/>
    <n v="13750"/>
    <s v="UPI"/>
  </r>
  <r>
    <d v="2026-01-12T00:00:00"/>
    <x v="2"/>
    <x v="2"/>
    <s v="Arjun"/>
    <x v="2"/>
    <x v="3"/>
    <n v="5"/>
    <n v="2100"/>
    <n v="10500"/>
    <s v="Card"/>
  </r>
  <r>
    <d v="2026-01-12T00:00:00"/>
    <x v="3"/>
    <x v="7"/>
    <s v="Neha"/>
    <x v="0"/>
    <x v="2"/>
    <n v="2"/>
    <n v="57000"/>
    <n v="114000"/>
    <s v="UPI"/>
  </r>
  <r>
    <d v="2026-01-13T00:00:00"/>
    <x v="0"/>
    <x v="6"/>
    <s v="Amit"/>
    <x v="1"/>
    <x v="5"/>
    <n v="7"/>
    <n v="1600"/>
    <n v="11200"/>
    <s v="Card"/>
  </r>
  <r>
    <d v="2026-01-13T00:00:00"/>
    <x v="1"/>
    <x v="8"/>
    <s v="Riya"/>
    <x v="0"/>
    <x v="0"/>
    <n v="4"/>
    <n v="14800"/>
    <n v="59200"/>
    <s v="Cash"/>
  </r>
  <r>
    <d v="2026-01-14T00:00:00"/>
    <x v="2"/>
    <x v="9"/>
    <s v="Arjun"/>
    <x v="2"/>
    <x v="8"/>
    <n v="2"/>
    <n v="27000"/>
    <n v="54000"/>
    <s v="Card"/>
  </r>
  <r>
    <d v="2026-01-14T00:00:00"/>
    <x v="3"/>
    <x v="10"/>
    <s v="Neha"/>
    <x v="1"/>
    <x v="1"/>
    <n v="18"/>
    <n v="500"/>
    <n v="9000"/>
    <s v="UPI"/>
  </r>
  <r>
    <d v="2026-01-15T00:00:00"/>
    <x v="0"/>
    <x v="0"/>
    <s v="Amit"/>
    <x v="0"/>
    <x v="4"/>
    <n v="5"/>
    <n v="21000"/>
    <n v="105000"/>
    <s v="Card"/>
  </r>
  <r>
    <d v="2026-01-15T00:00:00"/>
    <x v="1"/>
    <x v="1"/>
    <s v="Riya"/>
    <x v="2"/>
    <x v="3"/>
    <n v="6"/>
    <n v="1900"/>
    <n v="11400"/>
    <s v="Cash"/>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x v="0"/>
    <x v="0"/>
    <x v="0"/>
    <x v="0"/>
    <x v="0"/>
    <n v="1"/>
    <n v="15000"/>
    <x v="0"/>
    <x v="0"/>
  </r>
  <r>
    <n v="1002"/>
    <x v="1"/>
    <x v="1"/>
    <x v="1"/>
    <x v="1"/>
    <x v="0"/>
    <n v="8"/>
    <n v="20000"/>
    <x v="1"/>
    <x v="1"/>
  </r>
  <r>
    <n v="1003"/>
    <x v="2"/>
    <x v="2"/>
    <x v="0"/>
    <x v="2"/>
    <x v="0"/>
    <n v="9"/>
    <n v="1500"/>
    <x v="2"/>
    <x v="1"/>
  </r>
  <r>
    <n v="1004"/>
    <x v="3"/>
    <x v="1"/>
    <x v="2"/>
    <x v="3"/>
    <x v="1"/>
    <n v="6"/>
    <n v="2500"/>
    <x v="0"/>
    <x v="0"/>
  </r>
  <r>
    <n v="1005"/>
    <x v="4"/>
    <x v="3"/>
    <x v="3"/>
    <x v="4"/>
    <x v="0"/>
    <n v="10"/>
    <n v="55000"/>
    <x v="3"/>
    <x v="2"/>
  </r>
  <r>
    <n v="1006"/>
    <x v="5"/>
    <x v="1"/>
    <x v="0"/>
    <x v="4"/>
    <x v="0"/>
    <n v="10"/>
    <n v="55000"/>
    <x v="3"/>
    <x v="0"/>
  </r>
  <r>
    <n v="1007"/>
    <x v="6"/>
    <x v="1"/>
    <x v="4"/>
    <x v="0"/>
    <x v="0"/>
    <n v="3"/>
    <n v="15000"/>
    <x v="4"/>
    <x v="0"/>
  </r>
  <r>
    <n v="1008"/>
    <x v="7"/>
    <x v="2"/>
    <x v="1"/>
    <x v="5"/>
    <x v="2"/>
    <n v="2"/>
    <n v="35000"/>
    <x v="5"/>
    <x v="2"/>
  </r>
  <r>
    <n v="1009"/>
    <x v="8"/>
    <x v="2"/>
    <x v="4"/>
    <x v="6"/>
    <x v="2"/>
    <n v="7"/>
    <n v="45000"/>
    <x v="6"/>
    <x v="2"/>
  </r>
  <r>
    <n v="1010"/>
    <x v="9"/>
    <x v="2"/>
    <x v="1"/>
    <x v="5"/>
    <x v="2"/>
    <n v="3"/>
    <n v="35000"/>
    <x v="7"/>
    <x v="2"/>
  </r>
  <r>
    <n v="1011"/>
    <x v="10"/>
    <x v="2"/>
    <x v="3"/>
    <x v="4"/>
    <x v="0"/>
    <n v="10"/>
    <n v="55000"/>
    <x v="3"/>
    <x v="1"/>
  </r>
  <r>
    <n v="1012"/>
    <x v="11"/>
    <x v="3"/>
    <x v="1"/>
    <x v="4"/>
    <x v="0"/>
    <n v="1"/>
    <n v="55000"/>
    <x v="8"/>
    <x v="1"/>
  </r>
  <r>
    <n v="1013"/>
    <x v="12"/>
    <x v="3"/>
    <x v="3"/>
    <x v="1"/>
    <x v="0"/>
    <n v="1"/>
    <n v="20000"/>
    <x v="9"/>
    <x v="2"/>
  </r>
  <r>
    <n v="1014"/>
    <x v="13"/>
    <x v="3"/>
    <x v="3"/>
    <x v="0"/>
    <x v="0"/>
    <n v="7"/>
    <n v="15000"/>
    <x v="7"/>
    <x v="2"/>
  </r>
  <r>
    <n v="1015"/>
    <x v="14"/>
    <x v="2"/>
    <x v="5"/>
    <x v="5"/>
    <x v="2"/>
    <n v="7"/>
    <n v="35000"/>
    <x v="10"/>
    <x v="1"/>
  </r>
  <r>
    <n v="1016"/>
    <x v="15"/>
    <x v="1"/>
    <x v="4"/>
    <x v="7"/>
    <x v="2"/>
    <n v="1"/>
    <n v="12000"/>
    <x v="11"/>
    <x v="2"/>
  </r>
  <r>
    <n v="1017"/>
    <x v="16"/>
    <x v="1"/>
    <x v="3"/>
    <x v="7"/>
    <x v="2"/>
    <n v="5"/>
    <n v="12000"/>
    <x v="12"/>
    <x v="1"/>
  </r>
  <r>
    <n v="1018"/>
    <x v="17"/>
    <x v="3"/>
    <x v="4"/>
    <x v="1"/>
    <x v="0"/>
    <n v="4"/>
    <n v="20000"/>
    <x v="13"/>
    <x v="0"/>
  </r>
  <r>
    <n v="1019"/>
    <x v="18"/>
    <x v="0"/>
    <x v="5"/>
    <x v="8"/>
    <x v="1"/>
    <n v="6"/>
    <n v="30000"/>
    <x v="14"/>
    <x v="0"/>
  </r>
  <r>
    <n v="1020"/>
    <x v="19"/>
    <x v="2"/>
    <x v="3"/>
    <x v="7"/>
    <x v="2"/>
    <n v="1"/>
    <n v="12000"/>
    <x v="11"/>
    <x v="0"/>
  </r>
  <r>
    <n v="1021"/>
    <x v="20"/>
    <x v="1"/>
    <x v="0"/>
    <x v="9"/>
    <x v="1"/>
    <n v="2"/>
    <n v="7000"/>
    <x v="15"/>
    <x v="0"/>
  </r>
  <r>
    <n v="1022"/>
    <x v="21"/>
    <x v="3"/>
    <x v="1"/>
    <x v="9"/>
    <x v="1"/>
    <n v="2"/>
    <n v="7000"/>
    <x v="15"/>
    <x v="0"/>
  </r>
  <r>
    <n v="1023"/>
    <x v="22"/>
    <x v="0"/>
    <x v="3"/>
    <x v="6"/>
    <x v="2"/>
    <n v="1"/>
    <n v="45000"/>
    <x v="4"/>
    <x v="2"/>
  </r>
  <r>
    <n v="1024"/>
    <x v="23"/>
    <x v="0"/>
    <x v="2"/>
    <x v="0"/>
    <x v="0"/>
    <n v="1"/>
    <n v="15000"/>
    <x v="0"/>
    <x v="0"/>
  </r>
  <r>
    <n v="1025"/>
    <x v="24"/>
    <x v="0"/>
    <x v="0"/>
    <x v="3"/>
    <x v="1"/>
    <n v="3"/>
    <n v="2500"/>
    <x v="16"/>
    <x v="1"/>
  </r>
  <r>
    <n v="1026"/>
    <x v="25"/>
    <x v="1"/>
    <x v="5"/>
    <x v="0"/>
    <x v="0"/>
    <n v="1"/>
    <n v="15000"/>
    <x v="0"/>
    <x v="1"/>
  </r>
  <r>
    <n v="1027"/>
    <x v="2"/>
    <x v="2"/>
    <x v="5"/>
    <x v="2"/>
    <x v="0"/>
    <n v="3"/>
    <n v="1500"/>
    <x v="17"/>
    <x v="1"/>
  </r>
  <r>
    <n v="1028"/>
    <x v="26"/>
    <x v="1"/>
    <x v="4"/>
    <x v="4"/>
    <x v="0"/>
    <n v="6"/>
    <n v="55000"/>
    <x v="18"/>
    <x v="1"/>
  </r>
  <r>
    <n v="1029"/>
    <x v="27"/>
    <x v="0"/>
    <x v="0"/>
    <x v="1"/>
    <x v="0"/>
    <n v="8"/>
    <n v="20000"/>
    <x v="1"/>
    <x v="1"/>
  </r>
  <r>
    <n v="1030"/>
    <x v="28"/>
    <x v="3"/>
    <x v="5"/>
    <x v="6"/>
    <x v="2"/>
    <n v="4"/>
    <n v="45000"/>
    <x v="14"/>
    <x v="2"/>
  </r>
  <r>
    <n v="1031"/>
    <x v="29"/>
    <x v="0"/>
    <x v="4"/>
    <x v="0"/>
    <x v="0"/>
    <n v="5"/>
    <n v="15000"/>
    <x v="19"/>
    <x v="1"/>
  </r>
  <r>
    <n v="1032"/>
    <x v="30"/>
    <x v="1"/>
    <x v="5"/>
    <x v="0"/>
    <x v="0"/>
    <n v="4"/>
    <n v="15000"/>
    <x v="12"/>
    <x v="0"/>
  </r>
  <r>
    <n v="1033"/>
    <x v="31"/>
    <x v="1"/>
    <x v="4"/>
    <x v="7"/>
    <x v="2"/>
    <n v="4"/>
    <n v="12000"/>
    <x v="20"/>
    <x v="1"/>
  </r>
  <r>
    <n v="1034"/>
    <x v="32"/>
    <x v="2"/>
    <x v="4"/>
    <x v="3"/>
    <x v="1"/>
    <n v="4"/>
    <n v="2500"/>
    <x v="21"/>
    <x v="1"/>
  </r>
  <r>
    <n v="1035"/>
    <x v="33"/>
    <x v="1"/>
    <x v="3"/>
    <x v="4"/>
    <x v="0"/>
    <n v="9"/>
    <n v="55000"/>
    <x v="22"/>
    <x v="0"/>
  </r>
  <r>
    <n v="1036"/>
    <x v="34"/>
    <x v="0"/>
    <x v="0"/>
    <x v="7"/>
    <x v="2"/>
    <n v="9"/>
    <n v="12000"/>
    <x v="23"/>
    <x v="2"/>
  </r>
  <r>
    <n v="1037"/>
    <x v="35"/>
    <x v="3"/>
    <x v="4"/>
    <x v="5"/>
    <x v="2"/>
    <n v="9"/>
    <n v="35000"/>
    <x v="6"/>
    <x v="0"/>
  </r>
  <r>
    <n v="1038"/>
    <x v="36"/>
    <x v="2"/>
    <x v="1"/>
    <x v="3"/>
    <x v="1"/>
    <n v="3"/>
    <n v="2500"/>
    <x v="16"/>
    <x v="2"/>
  </r>
  <r>
    <n v="1039"/>
    <x v="37"/>
    <x v="3"/>
    <x v="5"/>
    <x v="0"/>
    <x v="0"/>
    <n v="5"/>
    <n v="15000"/>
    <x v="19"/>
    <x v="2"/>
  </r>
  <r>
    <n v="1040"/>
    <x v="38"/>
    <x v="2"/>
    <x v="0"/>
    <x v="0"/>
    <x v="0"/>
    <n v="9"/>
    <n v="15000"/>
    <x v="24"/>
    <x v="0"/>
  </r>
  <r>
    <n v="1041"/>
    <x v="39"/>
    <x v="3"/>
    <x v="3"/>
    <x v="2"/>
    <x v="0"/>
    <n v="4"/>
    <n v="1500"/>
    <x v="25"/>
    <x v="1"/>
  </r>
  <r>
    <n v="1042"/>
    <x v="40"/>
    <x v="0"/>
    <x v="5"/>
    <x v="9"/>
    <x v="1"/>
    <n v="9"/>
    <n v="7000"/>
    <x v="26"/>
    <x v="1"/>
  </r>
  <r>
    <n v="1043"/>
    <x v="5"/>
    <x v="0"/>
    <x v="1"/>
    <x v="8"/>
    <x v="1"/>
    <n v="5"/>
    <n v="30000"/>
    <x v="27"/>
    <x v="0"/>
  </r>
  <r>
    <n v="1044"/>
    <x v="41"/>
    <x v="0"/>
    <x v="0"/>
    <x v="6"/>
    <x v="2"/>
    <n v="4"/>
    <n v="45000"/>
    <x v="14"/>
    <x v="1"/>
  </r>
  <r>
    <n v="1045"/>
    <x v="42"/>
    <x v="2"/>
    <x v="2"/>
    <x v="4"/>
    <x v="0"/>
    <n v="5"/>
    <n v="55000"/>
    <x v="28"/>
    <x v="2"/>
  </r>
  <r>
    <n v="1046"/>
    <x v="43"/>
    <x v="2"/>
    <x v="2"/>
    <x v="5"/>
    <x v="2"/>
    <n v="2"/>
    <n v="35000"/>
    <x v="5"/>
    <x v="1"/>
  </r>
  <r>
    <n v="1047"/>
    <x v="44"/>
    <x v="3"/>
    <x v="1"/>
    <x v="1"/>
    <x v="0"/>
    <n v="5"/>
    <n v="20000"/>
    <x v="29"/>
    <x v="2"/>
  </r>
  <r>
    <n v="1048"/>
    <x v="45"/>
    <x v="1"/>
    <x v="1"/>
    <x v="5"/>
    <x v="2"/>
    <n v="6"/>
    <n v="35000"/>
    <x v="30"/>
    <x v="2"/>
  </r>
  <r>
    <n v="1049"/>
    <x v="46"/>
    <x v="0"/>
    <x v="3"/>
    <x v="3"/>
    <x v="1"/>
    <n v="8"/>
    <n v="2500"/>
    <x v="9"/>
    <x v="2"/>
  </r>
  <r>
    <n v="1050"/>
    <x v="47"/>
    <x v="1"/>
    <x v="4"/>
    <x v="5"/>
    <x v="2"/>
    <n v="2"/>
    <n v="35000"/>
    <x v="5"/>
    <x v="0"/>
  </r>
  <r>
    <n v="1051"/>
    <x v="48"/>
    <x v="1"/>
    <x v="5"/>
    <x v="1"/>
    <x v="0"/>
    <n v="4"/>
    <n v="20000"/>
    <x v="13"/>
    <x v="0"/>
  </r>
  <r>
    <n v="1052"/>
    <x v="49"/>
    <x v="1"/>
    <x v="0"/>
    <x v="0"/>
    <x v="0"/>
    <n v="9"/>
    <n v="15000"/>
    <x v="24"/>
    <x v="2"/>
  </r>
  <r>
    <n v="1053"/>
    <x v="50"/>
    <x v="2"/>
    <x v="0"/>
    <x v="4"/>
    <x v="0"/>
    <n v="4"/>
    <n v="55000"/>
    <x v="31"/>
    <x v="2"/>
  </r>
  <r>
    <n v="1054"/>
    <x v="51"/>
    <x v="0"/>
    <x v="1"/>
    <x v="0"/>
    <x v="0"/>
    <n v="8"/>
    <n v="15000"/>
    <x v="32"/>
    <x v="1"/>
  </r>
  <r>
    <n v="1055"/>
    <x v="52"/>
    <x v="0"/>
    <x v="5"/>
    <x v="4"/>
    <x v="0"/>
    <n v="8"/>
    <n v="55000"/>
    <x v="33"/>
    <x v="1"/>
  </r>
  <r>
    <n v="1056"/>
    <x v="53"/>
    <x v="3"/>
    <x v="2"/>
    <x v="0"/>
    <x v="0"/>
    <n v="2"/>
    <n v="15000"/>
    <x v="34"/>
    <x v="1"/>
  </r>
  <r>
    <n v="1057"/>
    <x v="45"/>
    <x v="0"/>
    <x v="3"/>
    <x v="8"/>
    <x v="1"/>
    <n v="1"/>
    <n v="30000"/>
    <x v="34"/>
    <x v="2"/>
  </r>
  <r>
    <n v="1058"/>
    <x v="54"/>
    <x v="1"/>
    <x v="3"/>
    <x v="7"/>
    <x v="2"/>
    <n v="5"/>
    <n v="12000"/>
    <x v="12"/>
    <x v="2"/>
  </r>
  <r>
    <n v="1059"/>
    <x v="55"/>
    <x v="0"/>
    <x v="1"/>
    <x v="6"/>
    <x v="2"/>
    <n v="7"/>
    <n v="45000"/>
    <x v="6"/>
    <x v="1"/>
  </r>
  <r>
    <n v="1060"/>
    <x v="56"/>
    <x v="3"/>
    <x v="2"/>
    <x v="3"/>
    <x v="1"/>
    <n v="9"/>
    <n v="2500"/>
    <x v="35"/>
    <x v="1"/>
  </r>
  <r>
    <n v="1061"/>
    <x v="57"/>
    <x v="1"/>
    <x v="1"/>
    <x v="9"/>
    <x v="1"/>
    <n v="5"/>
    <n v="7000"/>
    <x v="36"/>
    <x v="0"/>
  </r>
  <r>
    <n v="1062"/>
    <x v="58"/>
    <x v="2"/>
    <x v="3"/>
    <x v="4"/>
    <x v="0"/>
    <n v="10"/>
    <n v="55000"/>
    <x v="3"/>
    <x v="1"/>
  </r>
  <r>
    <n v="1063"/>
    <x v="59"/>
    <x v="2"/>
    <x v="2"/>
    <x v="2"/>
    <x v="0"/>
    <n v="7"/>
    <n v="1500"/>
    <x v="37"/>
    <x v="1"/>
  </r>
  <r>
    <n v="1064"/>
    <x v="60"/>
    <x v="2"/>
    <x v="5"/>
    <x v="5"/>
    <x v="2"/>
    <n v="7"/>
    <n v="35000"/>
    <x v="10"/>
    <x v="1"/>
  </r>
  <r>
    <n v="1065"/>
    <x v="61"/>
    <x v="0"/>
    <x v="3"/>
    <x v="4"/>
    <x v="0"/>
    <n v="2"/>
    <n v="55000"/>
    <x v="38"/>
    <x v="2"/>
  </r>
  <r>
    <n v="1066"/>
    <x v="62"/>
    <x v="2"/>
    <x v="0"/>
    <x v="6"/>
    <x v="2"/>
    <n v="7"/>
    <n v="45000"/>
    <x v="6"/>
    <x v="0"/>
  </r>
  <r>
    <n v="1067"/>
    <x v="63"/>
    <x v="0"/>
    <x v="1"/>
    <x v="7"/>
    <x v="2"/>
    <n v="10"/>
    <n v="12000"/>
    <x v="32"/>
    <x v="1"/>
  </r>
  <r>
    <n v="1068"/>
    <x v="64"/>
    <x v="3"/>
    <x v="4"/>
    <x v="3"/>
    <x v="1"/>
    <n v="2"/>
    <n v="2500"/>
    <x v="39"/>
    <x v="1"/>
  </r>
  <r>
    <n v="1069"/>
    <x v="65"/>
    <x v="1"/>
    <x v="3"/>
    <x v="6"/>
    <x v="2"/>
    <n v="3"/>
    <n v="45000"/>
    <x v="24"/>
    <x v="0"/>
  </r>
  <r>
    <n v="1070"/>
    <x v="5"/>
    <x v="2"/>
    <x v="2"/>
    <x v="7"/>
    <x v="2"/>
    <n v="4"/>
    <n v="12000"/>
    <x v="20"/>
    <x v="2"/>
  </r>
  <r>
    <n v="1071"/>
    <x v="66"/>
    <x v="3"/>
    <x v="5"/>
    <x v="2"/>
    <x v="0"/>
    <n v="8"/>
    <n v="1500"/>
    <x v="11"/>
    <x v="0"/>
  </r>
  <r>
    <n v="1072"/>
    <x v="67"/>
    <x v="0"/>
    <x v="3"/>
    <x v="2"/>
    <x v="0"/>
    <n v="10"/>
    <n v="1500"/>
    <x v="0"/>
    <x v="1"/>
  </r>
  <r>
    <n v="1073"/>
    <x v="42"/>
    <x v="2"/>
    <x v="4"/>
    <x v="6"/>
    <x v="2"/>
    <n v="7"/>
    <n v="45000"/>
    <x v="6"/>
    <x v="2"/>
  </r>
  <r>
    <n v="1074"/>
    <x v="68"/>
    <x v="0"/>
    <x v="2"/>
    <x v="6"/>
    <x v="2"/>
    <n v="8"/>
    <n v="45000"/>
    <x v="40"/>
    <x v="1"/>
  </r>
  <r>
    <n v="1075"/>
    <x v="69"/>
    <x v="3"/>
    <x v="2"/>
    <x v="3"/>
    <x v="1"/>
    <n v="10"/>
    <n v="2500"/>
    <x v="41"/>
    <x v="1"/>
  </r>
  <r>
    <n v="1076"/>
    <x v="38"/>
    <x v="3"/>
    <x v="1"/>
    <x v="0"/>
    <x v="0"/>
    <n v="10"/>
    <n v="15000"/>
    <x v="27"/>
    <x v="1"/>
  </r>
  <r>
    <n v="1077"/>
    <x v="70"/>
    <x v="2"/>
    <x v="4"/>
    <x v="8"/>
    <x v="1"/>
    <n v="6"/>
    <n v="30000"/>
    <x v="14"/>
    <x v="0"/>
  </r>
  <r>
    <n v="1078"/>
    <x v="71"/>
    <x v="3"/>
    <x v="0"/>
    <x v="9"/>
    <x v="1"/>
    <n v="3"/>
    <n v="7000"/>
    <x v="42"/>
    <x v="0"/>
  </r>
  <r>
    <n v="1079"/>
    <x v="23"/>
    <x v="0"/>
    <x v="4"/>
    <x v="6"/>
    <x v="2"/>
    <n v="9"/>
    <n v="45000"/>
    <x v="43"/>
    <x v="1"/>
  </r>
  <r>
    <n v="1080"/>
    <x v="69"/>
    <x v="1"/>
    <x v="1"/>
    <x v="4"/>
    <x v="0"/>
    <n v="3"/>
    <n v="55000"/>
    <x v="44"/>
    <x v="1"/>
  </r>
  <r>
    <n v="1081"/>
    <x v="63"/>
    <x v="0"/>
    <x v="2"/>
    <x v="0"/>
    <x v="0"/>
    <n v="9"/>
    <n v="15000"/>
    <x v="24"/>
    <x v="2"/>
  </r>
  <r>
    <n v="1082"/>
    <x v="72"/>
    <x v="0"/>
    <x v="1"/>
    <x v="4"/>
    <x v="0"/>
    <n v="4"/>
    <n v="55000"/>
    <x v="31"/>
    <x v="1"/>
  </r>
  <r>
    <n v="1083"/>
    <x v="73"/>
    <x v="3"/>
    <x v="3"/>
    <x v="0"/>
    <x v="0"/>
    <n v="4"/>
    <n v="15000"/>
    <x v="12"/>
    <x v="0"/>
  </r>
  <r>
    <n v="1084"/>
    <x v="37"/>
    <x v="3"/>
    <x v="2"/>
    <x v="9"/>
    <x v="1"/>
    <n v="7"/>
    <n v="7000"/>
    <x v="45"/>
    <x v="2"/>
  </r>
  <r>
    <n v="1085"/>
    <x v="11"/>
    <x v="0"/>
    <x v="2"/>
    <x v="7"/>
    <x v="2"/>
    <n v="6"/>
    <n v="12000"/>
    <x v="46"/>
    <x v="0"/>
  </r>
  <r>
    <n v="1086"/>
    <x v="12"/>
    <x v="1"/>
    <x v="3"/>
    <x v="5"/>
    <x v="2"/>
    <n v="9"/>
    <n v="35000"/>
    <x v="6"/>
    <x v="1"/>
  </r>
  <r>
    <n v="1087"/>
    <x v="74"/>
    <x v="1"/>
    <x v="1"/>
    <x v="6"/>
    <x v="2"/>
    <n v="4"/>
    <n v="45000"/>
    <x v="14"/>
    <x v="0"/>
  </r>
  <r>
    <n v="1088"/>
    <x v="75"/>
    <x v="1"/>
    <x v="2"/>
    <x v="4"/>
    <x v="0"/>
    <n v="3"/>
    <n v="55000"/>
    <x v="44"/>
    <x v="2"/>
  </r>
  <r>
    <n v="1089"/>
    <x v="4"/>
    <x v="3"/>
    <x v="1"/>
    <x v="0"/>
    <x v="0"/>
    <n v="6"/>
    <n v="15000"/>
    <x v="47"/>
    <x v="2"/>
  </r>
  <r>
    <n v="1090"/>
    <x v="76"/>
    <x v="0"/>
    <x v="0"/>
    <x v="9"/>
    <x v="1"/>
    <n v="3"/>
    <n v="7000"/>
    <x v="42"/>
    <x v="0"/>
  </r>
  <r>
    <n v="1091"/>
    <x v="77"/>
    <x v="0"/>
    <x v="1"/>
    <x v="6"/>
    <x v="2"/>
    <n v="5"/>
    <n v="45000"/>
    <x v="48"/>
    <x v="0"/>
  </r>
  <r>
    <n v="1092"/>
    <x v="78"/>
    <x v="1"/>
    <x v="3"/>
    <x v="4"/>
    <x v="0"/>
    <n v="7"/>
    <n v="55000"/>
    <x v="49"/>
    <x v="2"/>
  </r>
  <r>
    <n v="1093"/>
    <x v="79"/>
    <x v="1"/>
    <x v="5"/>
    <x v="7"/>
    <x v="2"/>
    <n v="7"/>
    <n v="12000"/>
    <x v="50"/>
    <x v="0"/>
  </r>
  <r>
    <n v="1094"/>
    <x v="58"/>
    <x v="0"/>
    <x v="3"/>
    <x v="6"/>
    <x v="2"/>
    <n v="1"/>
    <n v="45000"/>
    <x v="4"/>
    <x v="0"/>
  </r>
  <r>
    <n v="1095"/>
    <x v="34"/>
    <x v="3"/>
    <x v="1"/>
    <x v="6"/>
    <x v="2"/>
    <n v="8"/>
    <n v="45000"/>
    <x v="40"/>
    <x v="0"/>
  </r>
  <r>
    <n v="1096"/>
    <x v="4"/>
    <x v="1"/>
    <x v="0"/>
    <x v="2"/>
    <x v="0"/>
    <n v="9"/>
    <n v="1500"/>
    <x v="2"/>
    <x v="1"/>
  </r>
  <r>
    <n v="1097"/>
    <x v="80"/>
    <x v="0"/>
    <x v="2"/>
    <x v="4"/>
    <x v="0"/>
    <n v="6"/>
    <n v="55000"/>
    <x v="18"/>
    <x v="2"/>
  </r>
  <r>
    <n v="1098"/>
    <x v="51"/>
    <x v="2"/>
    <x v="3"/>
    <x v="4"/>
    <x v="0"/>
    <n v="2"/>
    <n v="55000"/>
    <x v="38"/>
    <x v="0"/>
  </r>
  <r>
    <n v="1099"/>
    <x v="81"/>
    <x v="0"/>
    <x v="2"/>
    <x v="0"/>
    <x v="0"/>
    <n v="6"/>
    <n v="15000"/>
    <x v="47"/>
    <x v="1"/>
  </r>
  <r>
    <n v="1100"/>
    <x v="82"/>
    <x v="3"/>
    <x v="0"/>
    <x v="2"/>
    <x v="0"/>
    <n v="10"/>
    <n v="150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8BF0B7-774F-4E92-98FF-758B09DC1C21}" name="PivotTable5" cacheId="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14">
  <location ref="A44:B61" firstHeaderRow="1" firstDataRow="1" firstDataCol="1"/>
  <pivotFields count="10">
    <pivotField numFmtId="14" showAll="0"/>
    <pivotField axis="axisRow" showAll="0">
      <items count="5">
        <item x="3"/>
        <item x="0"/>
        <item x="2"/>
        <item x="1"/>
        <item t="default"/>
      </items>
    </pivotField>
    <pivotField axis="axisRow" showAll="0">
      <items count="13">
        <item x="2"/>
        <item x="11"/>
        <item x="5"/>
        <item x="0"/>
        <item x="7"/>
        <item x="9"/>
        <item x="6"/>
        <item x="3"/>
        <item x="1"/>
        <item x="10"/>
        <item x="4"/>
        <item x="8"/>
        <item t="default"/>
      </items>
    </pivotField>
    <pivotField showAll="0"/>
    <pivotField showAll="0">
      <items count="4">
        <item x="1"/>
        <item x="0"/>
        <item x="2"/>
        <item t="default"/>
      </items>
    </pivotField>
    <pivotField showAll="0">
      <items count="10">
        <item x="3"/>
        <item x="7"/>
        <item x="5"/>
        <item x="2"/>
        <item x="0"/>
        <item x="8"/>
        <item x="6"/>
        <item x="4"/>
        <item x="1"/>
        <item t="default"/>
      </items>
    </pivotField>
    <pivotField showAll="0"/>
    <pivotField showAll="0"/>
    <pivotField dataField="1" showAll="0"/>
    <pivotField showAll="0"/>
  </pivotFields>
  <rowFields count="2">
    <field x="1"/>
    <field x="2"/>
  </rowFields>
  <rowItems count="17">
    <i>
      <x/>
    </i>
    <i r="1">
      <x v="4"/>
    </i>
    <i r="1">
      <x v="7"/>
    </i>
    <i r="1">
      <x v="9"/>
    </i>
    <i>
      <x v="1"/>
    </i>
    <i r="1">
      <x v="1"/>
    </i>
    <i r="1">
      <x v="3"/>
    </i>
    <i r="1">
      <x v="6"/>
    </i>
    <i>
      <x v="2"/>
    </i>
    <i r="1">
      <x/>
    </i>
    <i r="1">
      <x v="2"/>
    </i>
    <i r="1">
      <x v="5"/>
    </i>
    <i>
      <x v="3"/>
    </i>
    <i r="1">
      <x v="8"/>
    </i>
    <i r="1">
      <x v="10"/>
    </i>
    <i r="1">
      <x v="11"/>
    </i>
    <i t="grand">
      <x/>
    </i>
  </rowItems>
  <colItems count="1">
    <i/>
  </colItems>
  <dataFields count="1">
    <dataField name="Sum of Revenue" fld="8" baseField="0" baseItem="0"/>
  </dataFields>
  <chartFormats count="14">
    <chartFormat chart="6" format="4" series="1">
      <pivotArea type="data" outline="0" fieldPosition="0">
        <references count="1">
          <reference field="4294967294" count="1" selected="0">
            <x v="0"/>
          </reference>
        </references>
      </pivotArea>
    </chartFormat>
    <chartFormat chart="0" format="46" series="1">
      <pivotArea type="data" outline="0" fieldPosition="0">
        <references count="1">
          <reference field="4294967294" count="1" selected="0">
            <x v="0"/>
          </reference>
        </references>
      </pivotArea>
    </chartFormat>
    <chartFormat chart="6" format="7">
      <pivotArea type="data" outline="0" fieldPosition="0">
        <references count="3">
          <reference field="4294967294" count="1" selected="0">
            <x v="0"/>
          </reference>
          <reference field="1" count="1" selected="0">
            <x v="0"/>
          </reference>
          <reference field="2" count="1" selected="0">
            <x v="4"/>
          </reference>
        </references>
      </pivotArea>
    </chartFormat>
    <chartFormat chart="6" format="8">
      <pivotArea type="data" outline="0" fieldPosition="0">
        <references count="3">
          <reference field="4294967294" count="1" selected="0">
            <x v="0"/>
          </reference>
          <reference field="1" count="1" selected="0">
            <x v="0"/>
          </reference>
          <reference field="2" count="1" selected="0">
            <x v="7"/>
          </reference>
        </references>
      </pivotArea>
    </chartFormat>
    <chartFormat chart="6" format="9">
      <pivotArea type="data" outline="0" fieldPosition="0">
        <references count="3">
          <reference field="4294967294" count="1" selected="0">
            <x v="0"/>
          </reference>
          <reference field="1" count="1" selected="0">
            <x v="0"/>
          </reference>
          <reference field="2" count="1" selected="0">
            <x v="9"/>
          </reference>
        </references>
      </pivotArea>
    </chartFormat>
    <chartFormat chart="6" format="10">
      <pivotArea type="data" outline="0" fieldPosition="0">
        <references count="3">
          <reference field="4294967294" count="1" selected="0">
            <x v="0"/>
          </reference>
          <reference field="1" count="1" selected="0">
            <x v="1"/>
          </reference>
          <reference field="2" count="1" selected="0">
            <x v="1"/>
          </reference>
        </references>
      </pivotArea>
    </chartFormat>
    <chartFormat chart="6" format="11">
      <pivotArea type="data" outline="0" fieldPosition="0">
        <references count="3">
          <reference field="4294967294" count="1" selected="0">
            <x v="0"/>
          </reference>
          <reference field="1" count="1" selected="0">
            <x v="1"/>
          </reference>
          <reference field="2" count="1" selected="0">
            <x v="3"/>
          </reference>
        </references>
      </pivotArea>
    </chartFormat>
    <chartFormat chart="6" format="12">
      <pivotArea type="data" outline="0" fieldPosition="0">
        <references count="3">
          <reference field="4294967294" count="1" selected="0">
            <x v="0"/>
          </reference>
          <reference field="1" count="1" selected="0">
            <x v="1"/>
          </reference>
          <reference field="2" count="1" selected="0">
            <x v="6"/>
          </reference>
        </references>
      </pivotArea>
    </chartFormat>
    <chartFormat chart="6" format="13">
      <pivotArea type="data" outline="0" fieldPosition="0">
        <references count="3">
          <reference field="4294967294" count="1" selected="0">
            <x v="0"/>
          </reference>
          <reference field="1" count="1" selected="0">
            <x v="2"/>
          </reference>
          <reference field="2" count="1" selected="0">
            <x v="0"/>
          </reference>
        </references>
      </pivotArea>
    </chartFormat>
    <chartFormat chart="6" format="14">
      <pivotArea type="data" outline="0" fieldPosition="0">
        <references count="3">
          <reference field="4294967294" count="1" selected="0">
            <x v="0"/>
          </reference>
          <reference field="1" count="1" selected="0">
            <x v="2"/>
          </reference>
          <reference field="2" count="1" selected="0">
            <x v="2"/>
          </reference>
        </references>
      </pivotArea>
    </chartFormat>
    <chartFormat chart="6" format="15">
      <pivotArea type="data" outline="0" fieldPosition="0">
        <references count="3">
          <reference field="4294967294" count="1" selected="0">
            <x v="0"/>
          </reference>
          <reference field="1" count="1" selected="0">
            <x v="2"/>
          </reference>
          <reference field="2" count="1" selected="0">
            <x v="5"/>
          </reference>
        </references>
      </pivotArea>
    </chartFormat>
    <chartFormat chart="6" format="16">
      <pivotArea type="data" outline="0" fieldPosition="0">
        <references count="3">
          <reference field="4294967294" count="1" selected="0">
            <x v="0"/>
          </reference>
          <reference field="1" count="1" selected="0">
            <x v="3"/>
          </reference>
          <reference field="2" count="1" selected="0">
            <x v="8"/>
          </reference>
        </references>
      </pivotArea>
    </chartFormat>
    <chartFormat chart="6" format="17">
      <pivotArea type="data" outline="0" fieldPosition="0">
        <references count="3">
          <reference field="4294967294" count="1" selected="0">
            <x v="0"/>
          </reference>
          <reference field="1" count="1" selected="0">
            <x v="3"/>
          </reference>
          <reference field="2" count="1" selected="0">
            <x v="10"/>
          </reference>
        </references>
      </pivotArea>
    </chartFormat>
    <chartFormat chart="6" format="18">
      <pivotArea type="data" outline="0" fieldPosition="0">
        <references count="3">
          <reference field="4294967294" count="1" selected="0">
            <x v="0"/>
          </reference>
          <reference field="1" count="1" selected="0">
            <x v="3"/>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9E0B09-EDCC-4B99-B35E-05DAF717F78B}"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L12:T30" firstHeaderRow="1" firstDataRow="3" firstDataCol="1"/>
  <pivotFields count="10">
    <pivotField numFmtId="14" showAll="0"/>
    <pivotField axis="axisCol" showAll="0">
      <items count="6">
        <item n="l" h="1" f="1" x="4"/>
        <item x="3"/>
        <item x="0"/>
        <item x="2"/>
        <item x="1"/>
        <item t="default"/>
      </items>
    </pivotField>
    <pivotField showAll="0"/>
    <pivotField showAll="0"/>
    <pivotField axis="axisRow" showAll="0">
      <items count="4">
        <item x="1"/>
        <item x="0"/>
        <item x="2"/>
        <item t="default"/>
      </items>
    </pivotField>
    <pivotField axis="axisRow" showAll="0">
      <items count="11">
        <item x="3"/>
        <item x="7"/>
        <item x="5"/>
        <item x="2"/>
        <item x="0"/>
        <item x="8"/>
        <item x="6"/>
        <item x="4"/>
        <item x="1"/>
        <item f="1" x="9"/>
        <item t="default"/>
      </items>
    </pivotField>
    <pivotField dataField="1" showAll="0"/>
    <pivotField dataField="1" showAll="0"/>
    <pivotField showAll="0"/>
    <pivotField showAll="0"/>
  </pivotFields>
  <rowFields count="2">
    <field x="4"/>
    <field x="5"/>
  </rowFields>
  <rowItems count="16">
    <i>
      <x/>
    </i>
    <i r="1">
      <x v="1"/>
    </i>
    <i r="1">
      <x v="2"/>
    </i>
    <i r="1">
      <x v="8"/>
    </i>
    <i r="1">
      <x v="9"/>
    </i>
    <i>
      <x v="1"/>
    </i>
    <i r="1">
      <x v="3"/>
    </i>
    <i r="1">
      <x v="4"/>
    </i>
    <i r="1">
      <x v="7"/>
    </i>
    <i r="1">
      <x v="9"/>
    </i>
    <i>
      <x v="2"/>
    </i>
    <i r="1">
      <x/>
    </i>
    <i r="1">
      <x v="5"/>
    </i>
    <i r="1">
      <x v="6"/>
    </i>
    <i r="1">
      <x v="9"/>
    </i>
    <i t="grand">
      <x/>
    </i>
  </rowItems>
  <colFields count="2">
    <field x="1"/>
    <field x="-2"/>
  </colFields>
  <colItems count="8">
    <i>
      <x v="1"/>
      <x/>
    </i>
    <i r="1" i="1">
      <x v="1"/>
    </i>
    <i>
      <x v="2"/>
      <x/>
    </i>
    <i r="1" i="1">
      <x v="1"/>
    </i>
    <i>
      <x v="3"/>
      <x/>
    </i>
    <i r="1" i="1">
      <x v="1"/>
    </i>
    <i>
      <x v="4"/>
      <x/>
    </i>
    <i r="1" i="1">
      <x v="1"/>
    </i>
  </colItems>
  <dataFields count="2">
    <dataField name="Sum of Units Sold" fld="6" baseField="0" baseItem="0"/>
    <dataField name="Sum of Unit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D7A54D-D9F8-4889-B445-5F8098FAF9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M11" firstHeaderRow="1" firstDataRow="1" firstDataCol="1"/>
  <pivotFields count="10">
    <pivotField numFmtId="14" showAll="0"/>
    <pivotField showAll="0">
      <items count="6">
        <item x="3"/>
        <item x="0"/>
        <item x="2"/>
        <item x="1"/>
        <item f="1" x="4"/>
        <item t="default"/>
      </items>
    </pivotField>
    <pivotField showAll="0"/>
    <pivotField showAll="0"/>
    <pivotField showAll="0">
      <items count="4">
        <item x="1"/>
        <item x="0"/>
        <item x="2"/>
        <item t="default"/>
      </items>
    </pivotField>
    <pivotField axis="axisRow" showAll="0">
      <items count="11">
        <item x="3"/>
        <item x="7"/>
        <item x="5"/>
        <item x="2"/>
        <item x="0"/>
        <item x="8"/>
        <item x="6"/>
        <item x="4"/>
        <item x="1"/>
        <item f="1" x="9"/>
        <item t="default"/>
      </items>
    </pivotField>
    <pivotField dataField="1" showAll="0"/>
    <pivotField showAll="0"/>
    <pivotField showAll="0"/>
    <pivotField showAll="0"/>
  </pivotFields>
  <rowFields count="1">
    <field x="5"/>
  </rowFields>
  <rowItems count="10">
    <i>
      <x/>
    </i>
    <i>
      <x v="1"/>
    </i>
    <i>
      <x v="2"/>
    </i>
    <i>
      <x v="3"/>
    </i>
    <i>
      <x v="4"/>
    </i>
    <i>
      <x v="5"/>
    </i>
    <i>
      <x v="6"/>
    </i>
    <i>
      <x v="7"/>
    </i>
    <i>
      <x v="8"/>
    </i>
    <i t="grand">
      <x/>
    </i>
  </rowItems>
  <colItems count="1">
    <i/>
  </colItems>
  <dataFields count="1">
    <dataField name="Sum of Units 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5B3A93-E381-48C7-86A9-39D3C679AD8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3:B67" firstHeaderRow="1" firstDataRow="1" firstDataCol="1"/>
  <pivotFields count="10">
    <pivotField numFmtId="14" showAll="0"/>
    <pivotField showAll="0">
      <items count="5">
        <item x="3"/>
        <item x="0"/>
        <item x="2"/>
        <item x="1"/>
        <item t="default"/>
      </items>
    </pivotField>
    <pivotField showAll="0"/>
    <pivotField showAll="0"/>
    <pivotField axis="axisRow" showAll="0">
      <items count="4">
        <item x="1"/>
        <item x="0"/>
        <item x="2"/>
        <item t="default"/>
      </items>
    </pivotField>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Sum of Unit Price" fld="7"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3EA5AD-8EB6-4D00-B106-91CED81B67C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4" firstHeaderRow="1" firstDataRow="1" firstDataCol="1"/>
  <pivotFields count="10">
    <pivotField numFmtId="14" showAll="0"/>
    <pivotField axis="axisRow" showAll="0">
      <items count="5">
        <item x="3"/>
        <item h="1" x="0"/>
        <item h="1" x="2"/>
        <item h="1" x="1"/>
        <item t="default"/>
      </items>
    </pivotField>
    <pivotField showAll="0"/>
    <pivotField showAll="0"/>
    <pivotField showAll="0"/>
    <pivotField showAll="0"/>
    <pivotField showAll="0"/>
    <pivotField showAll="0"/>
    <pivotField dataField="1" showAll="0"/>
    <pivotField showAll="0"/>
  </pivotFields>
  <rowFields count="1">
    <field x="1"/>
  </rowFields>
  <rowItems count="2">
    <i>
      <x/>
    </i>
    <i t="grand">
      <x/>
    </i>
  </rowItems>
  <colItems count="1">
    <i/>
  </colItems>
  <dataFields count="1">
    <dataField name="Sum of Revenue" fld="8" baseField="0" baseItem="0"/>
  </dataFields>
  <chartFormats count="5">
    <chartFormat chart="0"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0"/>
          </reference>
        </references>
      </pivotArea>
    </chartFormat>
    <chartFormat chart="7" format="2">
      <pivotArea type="data" outline="0" fieldPosition="0">
        <references count="2">
          <reference field="4294967294" count="1" selected="0">
            <x v="0"/>
          </reference>
          <reference field="1" count="1" selected="0">
            <x v="2"/>
          </reference>
        </references>
      </pivotArea>
    </chartFormat>
    <chartFormat chart="7" format="3">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C4B64F-1105-4E10-BBD7-39D5B1C177AC}"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6:D11" firstHeaderRow="0" firstDataRow="1" firstDataCol="1"/>
  <pivotFields count="12">
    <pivotField showAll="0"/>
    <pivotField numFmtId="14" showAll="0">
      <items count="84">
        <item x="6"/>
        <item x="55"/>
        <item x="41"/>
        <item x="30"/>
        <item x="76"/>
        <item x="78"/>
        <item x="0"/>
        <item x="74"/>
        <item x="81"/>
        <item x="64"/>
        <item x="11"/>
        <item x="50"/>
        <item x="12"/>
        <item x="52"/>
        <item x="14"/>
        <item x="63"/>
        <item x="60"/>
        <item x="5"/>
        <item x="67"/>
        <item x="39"/>
        <item x="7"/>
        <item x="28"/>
        <item x="71"/>
        <item x="75"/>
        <item x="77"/>
        <item x="44"/>
        <item x="19"/>
        <item x="43"/>
        <item x="36"/>
        <item x="61"/>
        <item x="8"/>
        <item x="3"/>
        <item x="68"/>
        <item x="72"/>
        <item x="59"/>
        <item x="10"/>
        <item x="16"/>
        <item x="56"/>
        <item x="53"/>
        <item x="33"/>
        <item x="70"/>
        <item x="23"/>
        <item x="22"/>
        <item x="34"/>
        <item x="40"/>
        <item x="82"/>
        <item x="17"/>
        <item x="57"/>
        <item x="49"/>
        <item x="21"/>
        <item x="4"/>
        <item x="54"/>
        <item x="38"/>
        <item x="47"/>
        <item x="45"/>
        <item x="24"/>
        <item x="9"/>
        <item x="29"/>
        <item x="58"/>
        <item x="51"/>
        <item x="13"/>
        <item x="15"/>
        <item x="46"/>
        <item x="42"/>
        <item x="37"/>
        <item x="1"/>
        <item x="31"/>
        <item x="35"/>
        <item x="66"/>
        <item x="25"/>
        <item x="27"/>
        <item x="79"/>
        <item x="80"/>
        <item x="18"/>
        <item x="48"/>
        <item x="65"/>
        <item x="62"/>
        <item x="73"/>
        <item x="26"/>
        <item x="2"/>
        <item x="69"/>
        <item x="32"/>
        <item x="20"/>
        <item t="default"/>
      </items>
    </pivotField>
    <pivotField showAll="0">
      <items count="5">
        <item h="1" x="2"/>
        <item x="0"/>
        <item h="1" x="3"/>
        <item h="1" x="1"/>
        <item t="default"/>
      </items>
    </pivotField>
    <pivotField showAll="0"/>
    <pivotField axis="axisRow" showAll="0">
      <items count="11">
        <item x="3"/>
        <item h="1" x="2"/>
        <item h="1" x="4"/>
        <item h="1" x="7"/>
        <item h="1" x="1"/>
        <item h="1" x="0"/>
        <item h="1" x="6"/>
        <item x="8"/>
        <item h="1" x="9"/>
        <item h="1" x="5"/>
        <item t="default"/>
      </items>
    </pivotField>
    <pivotField axis="axisRow" showAll="0">
      <items count="4">
        <item h="1" x="2"/>
        <item h="1" x="0"/>
        <item x="1"/>
        <item t="default"/>
      </items>
    </pivotField>
    <pivotField dataField="1" showAll="0"/>
    <pivotField dataField="1" showAll="0"/>
    <pivotField dataField="1" showAll="0"/>
    <pivotField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4"/>
    <field x="5"/>
  </rowFields>
  <rowItems count="5">
    <i>
      <x/>
    </i>
    <i r="1">
      <x v="2"/>
    </i>
    <i>
      <x v="7"/>
    </i>
    <i r="1">
      <x v="2"/>
    </i>
    <i t="grand">
      <x/>
    </i>
  </rowItems>
  <colFields count="1">
    <field x="-2"/>
  </colFields>
  <colItems count="3">
    <i>
      <x/>
    </i>
    <i i="1">
      <x v="1"/>
    </i>
    <i i="2">
      <x v="2"/>
    </i>
  </colItems>
  <dataFields count="3">
    <dataField name="Sum of Quantity" fld="6" baseField="0" baseItem="0"/>
    <dataField name="Sum of Unit_Price" fld="7" baseField="0" baseItem="0"/>
    <dataField name="Sum of Total_Sales" fld="8" baseField="0" baseItem="0"/>
  </dataFields>
  <chartFormats count="27">
    <chartFormat chart="0" format="49" series="1">
      <pivotArea type="data" outline="0" fieldPosition="0">
        <references count="1">
          <reference field="4294967294" count="1" selected="0">
            <x v="0"/>
          </reference>
        </references>
      </pivotArea>
    </chartFormat>
    <chartFormat chart="0" format="50" series="1">
      <pivotArea type="data" outline="0" fieldPosition="0">
        <references count="1">
          <reference field="4294967294" count="1" selected="0">
            <x v="1"/>
          </reference>
        </references>
      </pivotArea>
    </chartFormat>
    <chartFormat chart="0" format="51" series="1">
      <pivotArea type="data" outline="0" fieldPosition="0">
        <references count="1">
          <reference field="4294967294" count="1" selected="0">
            <x v="2"/>
          </reference>
        </references>
      </pivotArea>
    </chartFormat>
    <chartFormat chart="0" format="73">
      <pivotArea type="data" outline="0" fieldPosition="0">
        <references count="3">
          <reference field="4294967294" count="1" selected="0">
            <x v="0"/>
          </reference>
          <reference field="4" count="1" selected="0">
            <x v="2"/>
          </reference>
          <reference field="5" count="1" selected="0">
            <x v="1"/>
          </reference>
        </references>
      </pivotArea>
    </chartFormat>
    <chartFormat chart="0" format="74">
      <pivotArea type="data" outline="0" fieldPosition="0">
        <references count="3">
          <reference field="4294967294" count="1" selected="0">
            <x v="0"/>
          </reference>
          <reference field="4" count="1" selected="0">
            <x v="3"/>
          </reference>
          <reference field="5" count="1" selected="0">
            <x v="0"/>
          </reference>
        </references>
      </pivotArea>
    </chartFormat>
    <chartFormat chart="0" format="75">
      <pivotArea type="data" outline="0" fieldPosition="0">
        <references count="3">
          <reference field="4294967294" count="1" selected="0">
            <x v="0"/>
          </reference>
          <reference field="4" count="1" selected="0">
            <x v="4"/>
          </reference>
          <reference field="5" count="1" selected="0">
            <x v="1"/>
          </reference>
        </references>
      </pivotArea>
    </chartFormat>
    <chartFormat chart="0" format="76">
      <pivotArea type="data" outline="0" fieldPosition="0">
        <references count="3">
          <reference field="4294967294" count="1" selected="0">
            <x v="0"/>
          </reference>
          <reference field="4" count="1" selected="0">
            <x v="5"/>
          </reference>
          <reference field="5" count="1" selected="0">
            <x v="1"/>
          </reference>
        </references>
      </pivotArea>
    </chartFormat>
    <chartFormat chart="0" format="77">
      <pivotArea type="data" outline="0" fieldPosition="0">
        <references count="3">
          <reference field="4294967294" count="1" selected="0">
            <x v="0"/>
          </reference>
          <reference field="4" count="1" selected="0">
            <x v="6"/>
          </reference>
          <reference field="5" count="1" selected="0">
            <x v="0"/>
          </reference>
        </references>
      </pivotArea>
    </chartFormat>
    <chartFormat chart="0" format="78">
      <pivotArea type="data" outline="0" fieldPosition="0">
        <references count="3">
          <reference field="4294967294" count="1" selected="0">
            <x v="0"/>
          </reference>
          <reference field="4" count="1" selected="0">
            <x v="7"/>
          </reference>
          <reference field="5" count="1" selected="0">
            <x v="2"/>
          </reference>
        </references>
      </pivotArea>
    </chartFormat>
    <chartFormat chart="0" format="79">
      <pivotArea type="data" outline="0" fieldPosition="0">
        <references count="3">
          <reference field="4294967294" count="1" selected="0">
            <x v="0"/>
          </reference>
          <reference field="4" count="1" selected="0">
            <x v="8"/>
          </reference>
          <reference field="5" count="1" selected="0">
            <x v="2"/>
          </reference>
        </references>
      </pivotArea>
    </chartFormat>
    <chartFormat chart="0" format="80">
      <pivotArea type="data" outline="0" fieldPosition="0">
        <references count="3">
          <reference field="4294967294" count="1" selected="0">
            <x v="1"/>
          </reference>
          <reference field="4" count="1" selected="0">
            <x v="2"/>
          </reference>
          <reference field="5" count="1" selected="0">
            <x v="1"/>
          </reference>
        </references>
      </pivotArea>
    </chartFormat>
    <chartFormat chart="0" format="81">
      <pivotArea type="data" outline="0" fieldPosition="0">
        <references count="3">
          <reference field="4294967294" count="1" selected="0">
            <x v="1"/>
          </reference>
          <reference field="4" count="1" selected="0">
            <x v="3"/>
          </reference>
          <reference field="5" count="1" selected="0">
            <x v="0"/>
          </reference>
        </references>
      </pivotArea>
    </chartFormat>
    <chartFormat chart="0" format="82">
      <pivotArea type="data" outline="0" fieldPosition="0">
        <references count="3">
          <reference field="4294967294" count="1" selected="0">
            <x v="1"/>
          </reference>
          <reference field="4" count="1" selected="0">
            <x v="4"/>
          </reference>
          <reference field="5" count="1" selected="0">
            <x v="1"/>
          </reference>
        </references>
      </pivotArea>
    </chartFormat>
    <chartFormat chart="0" format="83">
      <pivotArea type="data" outline="0" fieldPosition="0">
        <references count="3">
          <reference field="4294967294" count="1" selected="0">
            <x v="1"/>
          </reference>
          <reference field="4" count="1" selected="0">
            <x v="5"/>
          </reference>
          <reference field="5" count="1" selected="0">
            <x v="1"/>
          </reference>
        </references>
      </pivotArea>
    </chartFormat>
    <chartFormat chart="0" format="84">
      <pivotArea type="data" outline="0" fieldPosition="0">
        <references count="3">
          <reference field="4294967294" count="1" selected="0">
            <x v="1"/>
          </reference>
          <reference field="4" count="1" selected="0">
            <x v="6"/>
          </reference>
          <reference field="5" count="1" selected="0">
            <x v="0"/>
          </reference>
        </references>
      </pivotArea>
    </chartFormat>
    <chartFormat chart="0" format="85">
      <pivotArea type="data" outline="0" fieldPosition="0">
        <references count="3">
          <reference field="4294967294" count="1" selected="0">
            <x v="1"/>
          </reference>
          <reference field="4" count="1" selected="0">
            <x v="7"/>
          </reference>
          <reference field="5" count="1" selected="0">
            <x v="2"/>
          </reference>
        </references>
      </pivotArea>
    </chartFormat>
    <chartFormat chart="0" format="86">
      <pivotArea type="data" outline="0" fieldPosition="0">
        <references count="3">
          <reference field="4294967294" count="1" selected="0">
            <x v="1"/>
          </reference>
          <reference field="4" count="1" selected="0">
            <x v="8"/>
          </reference>
          <reference field="5" count="1" selected="0">
            <x v="2"/>
          </reference>
        </references>
      </pivotArea>
    </chartFormat>
    <chartFormat chart="0" format="87">
      <pivotArea type="data" outline="0" fieldPosition="0">
        <references count="3">
          <reference field="4294967294" count="1" selected="0">
            <x v="2"/>
          </reference>
          <reference field="4" count="1" selected="0">
            <x v="2"/>
          </reference>
          <reference field="5" count="1" selected="0">
            <x v="1"/>
          </reference>
        </references>
      </pivotArea>
    </chartFormat>
    <chartFormat chart="0" format="88">
      <pivotArea type="data" outline="0" fieldPosition="0">
        <references count="3">
          <reference field="4294967294" count="1" selected="0">
            <x v="2"/>
          </reference>
          <reference field="4" count="1" selected="0">
            <x v="3"/>
          </reference>
          <reference field="5" count="1" selected="0">
            <x v="0"/>
          </reference>
        </references>
      </pivotArea>
    </chartFormat>
    <chartFormat chart="0" format="89">
      <pivotArea type="data" outline="0" fieldPosition="0">
        <references count="3">
          <reference field="4294967294" count="1" selected="0">
            <x v="2"/>
          </reference>
          <reference field="4" count="1" selected="0">
            <x v="4"/>
          </reference>
          <reference field="5" count="1" selected="0">
            <x v="1"/>
          </reference>
        </references>
      </pivotArea>
    </chartFormat>
    <chartFormat chart="0" format="90">
      <pivotArea type="data" outline="0" fieldPosition="0">
        <references count="3">
          <reference field="4294967294" count="1" selected="0">
            <x v="2"/>
          </reference>
          <reference field="4" count="1" selected="0">
            <x v="5"/>
          </reference>
          <reference field="5" count="1" selected="0">
            <x v="1"/>
          </reference>
        </references>
      </pivotArea>
    </chartFormat>
    <chartFormat chart="0" format="91">
      <pivotArea type="data" outline="0" fieldPosition="0">
        <references count="3">
          <reference field="4294967294" count="1" selected="0">
            <x v="2"/>
          </reference>
          <reference field="4" count="1" selected="0">
            <x v="6"/>
          </reference>
          <reference field="5" count="1" selected="0">
            <x v="0"/>
          </reference>
        </references>
      </pivotArea>
    </chartFormat>
    <chartFormat chart="0" format="92">
      <pivotArea type="data" outline="0" fieldPosition="0">
        <references count="3">
          <reference field="4294967294" count="1" selected="0">
            <x v="2"/>
          </reference>
          <reference field="4" count="1" selected="0">
            <x v="7"/>
          </reference>
          <reference field="5" count="1" selected="0">
            <x v="2"/>
          </reference>
        </references>
      </pivotArea>
    </chartFormat>
    <chartFormat chart="0" format="93">
      <pivotArea type="data" outline="0" fieldPosition="0">
        <references count="3">
          <reference field="4294967294" count="1" selected="0">
            <x v="2"/>
          </reference>
          <reference field="4" count="1" selected="0">
            <x v="8"/>
          </reference>
          <reference field="5" count="1" selected="0">
            <x v="2"/>
          </reference>
        </references>
      </pivotArea>
    </chartFormat>
    <chartFormat chart="0" format="94">
      <pivotArea type="data" outline="0" fieldPosition="0">
        <references count="3">
          <reference field="4294967294" count="1" selected="0">
            <x v="0"/>
          </reference>
          <reference field="4" count="1" selected="0">
            <x v="0"/>
          </reference>
          <reference field="5" count="1" selected="0">
            <x v="2"/>
          </reference>
        </references>
      </pivotArea>
    </chartFormat>
    <chartFormat chart="0" format="95">
      <pivotArea type="data" outline="0" fieldPosition="0">
        <references count="3">
          <reference field="4294967294" count="1" selected="0">
            <x v="1"/>
          </reference>
          <reference field="4" count="1" selected="0">
            <x v="0"/>
          </reference>
          <reference field="5" count="1" selected="0">
            <x v="2"/>
          </reference>
        </references>
      </pivotArea>
    </chartFormat>
    <chartFormat chart="0" format="96">
      <pivotArea type="data" outline="0" fieldPosition="0">
        <references count="3">
          <reference field="4294967294" count="1" selected="0">
            <x v="2"/>
          </reference>
          <reference field="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FFFC9C-AD14-4B0E-8546-9BF0E26818FC}"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22:B26" firstHeaderRow="1" firstDataRow="1" firstDataCol="1"/>
  <pivotFields count="12">
    <pivotField showAll="0"/>
    <pivotField numFmtId="14" showAll="0">
      <items count="84">
        <item x="6"/>
        <item x="55"/>
        <item x="41"/>
        <item x="30"/>
        <item x="76"/>
        <item x="78"/>
        <item x="0"/>
        <item x="74"/>
        <item x="81"/>
        <item x="64"/>
        <item x="11"/>
        <item x="50"/>
        <item x="12"/>
        <item x="52"/>
        <item x="14"/>
        <item x="63"/>
        <item x="60"/>
        <item x="5"/>
        <item x="67"/>
        <item x="39"/>
        <item x="7"/>
        <item x="28"/>
        <item x="71"/>
        <item x="75"/>
        <item x="77"/>
        <item x="44"/>
        <item x="19"/>
        <item x="43"/>
        <item x="36"/>
        <item x="61"/>
        <item x="8"/>
        <item x="3"/>
        <item x="68"/>
        <item x="72"/>
        <item x="59"/>
        <item x="10"/>
        <item x="16"/>
        <item x="56"/>
        <item x="53"/>
        <item x="33"/>
        <item x="70"/>
        <item x="23"/>
        <item x="22"/>
        <item x="34"/>
        <item x="40"/>
        <item x="82"/>
        <item x="17"/>
        <item x="57"/>
        <item x="49"/>
        <item x="21"/>
        <item x="4"/>
        <item x="54"/>
        <item x="38"/>
        <item x="47"/>
        <item x="45"/>
        <item x="24"/>
        <item x="9"/>
        <item x="29"/>
        <item x="58"/>
        <item x="51"/>
        <item x="13"/>
        <item x="15"/>
        <item x="46"/>
        <item x="42"/>
        <item x="37"/>
        <item x="1"/>
        <item x="31"/>
        <item x="35"/>
        <item x="66"/>
        <item x="25"/>
        <item x="27"/>
        <item x="79"/>
        <item x="80"/>
        <item x="18"/>
        <item x="48"/>
        <item x="65"/>
        <item x="62"/>
        <item x="73"/>
        <item x="26"/>
        <item x="2"/>
        <item x="69"/>
        <item x="32"/>
        <item x="20"/>
        <item t="default"/>
      </items>
    </pivotField>
    <pivotField showAll="0">
      <items count="5">
        <item x="2"/>
        <item x="0"/>
        <item x="3"/>
        <item x="1"/>
        <item t="default"/>
      </items>
    </pivotField>
    <pivotField showAll="0">
      <items count="7">
        <item x="5"/>
        <item x="4"/>
        <item x="2"/>
        <item x="0"/>
        <item x="1"/>
        <item x="3"/>
        <item t="default"/>
      </items>
    </pivotField>
    <pivotField showAll="0">
      <items count="11">
        <item x="3"/>
        <item x="2"/>
        <item x="4"/>
        <item x="7"/>
        <item x="1"/>
        <item x="0"/>
        <item x="6"/>
        <item x="8"/>
        <item x="9"/>
        <item x="5"/>
        <item t="default"/>
      </items>
    </pivotField>
    <pivotField axis="axisRow" showAll="0">
      <items count="4">
        <item x="2"/>
        <item x="0"/>
        <item x="1"/>
        <item t="default"/>
      </items>
    </pivotField>
    <pivotField showAll="0"/>
    <pivotField showAll="0"/>
    <pivotField dataField="1" showAll="0">
      <items count="52">
        <item x="17"/>
        <item x="39"/>
        <item x="25"/>
        <item x="16"/>
        <item x="21"/>
        <item x="37"/>
        <item x="11"/>
        <item x="2"/>
        <item x="15"/>
        <item x="0"/>
        <item x="9"/>
        <item x="42"/>
        <item x="35"/>
        <item x="41"/>
        <item x="34"/>
        <item x="36"/>
        <item x="4"/>
        <item x="20"/>
        <item x="45"/>
        <item x="8"/>
        <item x="12"/>
        <item x="26"/>
        <item x="5"/>
        <item x="46"/>
        <item x="19"/>
        <item x="13"/>
        <item x="50"/>
        <item x="47"/>
        <item x="29"/>
        <item x="7"/>
        <item x="23"/>
        <item x="38"/>
        <item x="32"/>
        <item x="24"/>
        <item x="27"/>
        <item x="1"/>
        <item x="44"/>
        <item x="14"/>
        <item x="30"/>
        <item x="31"/>
        <item x="48"/>
        <item x="10"/>
        <item x="28"/>
        <item x="6"/>
        <item x="18"/>
        <item x="40"/>
        <item x="49"/>
        <item x="43"/>
        <item x="33"/>
        <item x="22"/>
        <item x="3"/>
        <item t="default"/>
      </items>
    </pivotField>
    <pivotField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i>
    <i>
      <x v="1"/>
    </i>
    <i>
      <x v="2"/>
    </i>
    <i t="grand">
      <x/>
    </i>
  </rowItems>
  <colItems count="1">
    <i/>
  </colItems>
  <dataFields count="1">
    <dataField name="Sum of Total_Sales" fld="8" baseField="0" baseItem="0"/>
  </dataFields>
  <chartFormats count="4">
    <chartFormat chart="5" format="56" series="1">
      <pivotArea type="data" outline="0" fieldPosition="0">
        <references count="1">
          <reference field="4294967294" count="1" selected="0">
            <x v="0"/>
          </reference>
        </references>
      </pivotArea>
    </chartFormat>
    <chartFormat chart="5" format="57">
      <pivotArea type="data" outline="0" fieldPosition="0">
        <references count="2">
          <reference field="4294967294" count="1" selected="0">
            <x v="0"/>
          </reference>
          <reference field="5" count="1" selected="0">
            <x v="0"/>
          </reference>
        </references>
      </pivotArea>
    </chartFormat>
    <chartFormat chart="5" format="58">
      <pivotArea type="data" outline="0" fieldPosition="0">
        <references count="2">
          <reference field="4294967294" count="1" selected="0">
            <x v="0"/>
          </reference>
          <reference field="5" count="1" selected="0">
            <x v="1"/>
          </reference>
        </references>
      </pivotArea>
    </chartFormat>
    <chartFormat chart="5" format="5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C32F85-61C7-4AC4-BF3B-AE60AB7CBD42}"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1"/>
  <pivotFields count="12">
    <pivotField showAll="0"/>
    <pivotField numFmtId="14" showAll="0">
      <items count="84">
        <item x="6"/>
        <item x="55"/>
        <item x="41"/>
        <item x="30"/>
        <item x="76"/>
        <item x="78"/>
        <item x="0"/>
        <item x="74"/>
        <item x="81"/>
        <item x="64"/>
        <item x="11"/>
        <item x="50"/>
        <item x="12"/>
        <item x="52"/>
        <item x="14"/>
        <item x="63"/>
        <item x="60"/>
        <item x="5"/>
        <item x="67"/>
        <item x="39"/>
        <item x="7"/>
        <item x="28"/>
        <item x="71"/>
        <item x="75"/>
        <item x="77"/>
        <item x="44"/>
        <item x="19"/>
        <item x="43"/>
        <item x="36"/>
        <item x="61"/>
        <item x="8"/>
        <item x="3"/>
        <item x="68"/>
        <item x="72"/>
        <item x="59"/>
        <item x="10"/>
        <item x="16"/>
        <item x="56"/>
        <item x="53"/>
        <item x="33"/>
        <item x="70"/>
        <item x="23"/>
        <item x="22"/>
        <item x="34"/>
        <item x="40"/>
        <item x="82"/>
        <item x="17"/>
        <item x="57"/>
        <item x="49"/>
        <item x="21"/>
        <item x="4"/>
        <item x="54"/>
        <item x="38"/>
        <item x="47"/>
        <item x="45"/>
        <item x="24"/>
        <item x="9"/>
        <item x="29"/>
        <item x="58"/>
        <item x="51"/>
        <item x="13"/>
        <item x="15"/>
        <item x="46"/>
        <item x="42"/>
        <item x="37"/>
        <item x="1"/>
        <item x="31"/>
        <item x="35"/>
        <item x="66"/>
        <item x="25"/>
        <item x="27"/>
        <item x="79"/>
        <item x="80"/>
        <item x="18"/>
        <item x="48"/>
        <item x="65"/>
        <item x="62"/>
        <item x="73"/>
        <item x="26"/>
        <item x="2"/>
        <item x="69"/>
        <item x="32"/>
        <item x="20"/>
        <item t="default"/>
      </items>
    </pivotField>
    <pivotField axis="axisRow" showAll="0">
      <items count="5">
        <item x="2"/>
        <item x="0"/>
        <item x="3"/>
        <item x="1"/>
        <item t="default"/>
      </items>
    </pivotField>
    <pivotField showAll="0">
      <items count="7">
        <item x="5"/>
        <item x="4"/>
        <item x="2"/>
        <item x="0"/>
        <item x="1"/>
        <item x="3"/>
        <item t="default"/>
      </items>
    </pivotField>
    <pivotField showAll="0">
      <items count="11">
        <item x="3"/>
        <item x="2"/>
        <item x="4"/>
        <item x="7"/>
        <item x="1"/>
        <item x="0"/>
        <item x="6"/>
        <item x="8"/>
        <item x="9"/>
        <item x="5"/>
        <item t="default"/>
      </items>
    </pivotField>
    <pivotField showAll="0">
      <items count="4">
        <item x="2"/>
        <item x="0"/>
        <item x="1"/>
        <item t="default"/>
      </items>
    </pivotField>
    <pivotField dataField="1" showAll="0"/>
    <pivotField dataField="1" showAll="0"/>
    <pivotField dataField="1" showAll="0"/>
    <pivotField showAll="0">
      <items count="4">
        <item x="0"/>
        <item x="1"/>
        <item x="2"/>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1">
    <i t="grand">
      <x/>
    </i>
  </rowItems>
  <colFields count="1">
    <field x="-2"/>
  </colFields>
  <colItems count="3">
    <i>
      <x/>
    </i>
    <i i="1">
      <x v="1"/>
    </i>
    <i i="2">
      <x v="2"/>
    </i>
  </colItems>
  <dataFields count="3">
    <dataField name="Total Quantity" fld="6" baseField="0" baseItem="0"/>
    <dataField name="total price" fld="7" baseField="0" baseItem="0"/>
    <dataField name="Total Sales" fld="8" baseField="0" baseItem="0"/>
  </dataFields>
  <pivotTableStyleInfo name="PivotStyleLight16" showRowHeaders="1" showColHeaders="1" showRowStripes="0" showColStripes="0" showLastColumn="1"/>
  <filters count="1">
    <filter fld="1" type="dateBetween" evalOrder="-1" id="16" name="Order_Date">
      <autoFilter ref="A1">
        <filterColumn colId="0">
          <customFilters and="1">
            <customFilter operator="greaterThanOrEqual" val="45962"/>
            <customFilter operator="lessThanOrEqual" val="459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53BD3A-3771-4811-9135-D031C1BE794D}" autoFormatId="16" applyNumberFormats="0" applyBorderFormats="0" applyFontFormats="0" applyPatternFormats="0" applyAlignmentFormats="0" applyWidthHeightFormats="0">
  <queryTableRefresh nextId="11">
    <queryTableFields count="10">
      <queryTableField id="1" name="Date" tableColumnId="1"/>
      <queryTableField id="2" name="Region" tableColumnId="2"/>
      <queryTableField id="3" name="City" tableColumnId="3"/>
      <queryTableField id="4" name="Salesperson" tableColumnId="4"/>
      <queryTableField id="5" name="Category" tableColumnId="5"/>
      <queryTableField id="6" name="Product" tableColumnId="6"/>
      <queryTableField id="7" name="Units Sold" tableColumnId="7"/>
      <queryTableField id="8" name="Unit Price" tableColumnId="8"/>
      <queryTableField id="9" name="Revenue" tableColumnId="9"/>
      <queryTableField id="10" name="Payment Mod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07C9D722-C698-4C8C-8C8B-4AB037F9B68B}" autoFormatId="16" applyNumberFormats="0" applyBorderFormats="0" applyFontFormats="0" applyPatternFormats="0" applyAlignmentFormats="0" applyWidthHeightFormats="0">
  <queryTableRefresh nextId="11">
    <queryTableFields count="10">
      <queryTableField id="1" name="Order_ID" tableColumnId="1"/>
      <queryTableField id="2" name="Order_Date" tableColumnId="2"/>
      <queryTableField id="3" name="Region" tableColumnId="3"/>
      <queryTableField id="4" name="Salesperson" tableColumnId="4"/>
      <queryTableField id="5" name="Product" tableColumnId="5"/>
      <queryTableField id="6" name="Category" tableColumnId="6"/>
      <queryTableField id="7" name="Quantity" tableColumnId="7"/>
      <queryTableField id="8" name="Unit_Price" tableColumnId="8"/>
      <queryTableField id="9" name="Total_Sales" tableColumnId="9"/>
      <queryTableField id="10" name="Payment_Mod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81FDA0-2902-44F3-953C-BD95E1C5F7FD}" sourceName="Region">
  <pivotTables>
    <pivotTable tabId="3" name="PivotTable6"/>
  </pivotTables>
  <data>
    <tabular pivotCacheId="1745215174">
      <items count="4">
        <i x="3" s="1"/>
        <i x="0"/>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8640FA-E3DE-46D9-8D9A-385D8E1CFDB3}" sourceName="Category">
  <pivotTables>
    <pivotTable tabId="2" name="PivotTable5"/>
  </pivotTables>
  <data>
    <tabular pivotCacheId="174521517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A12EEFD-039C-428D-8863-0010A2951CF4}" sourceName="Product">
  <pivotTables>
    <pivotTable tabId="2" name="PivotTable5"/>
  </pivotTables>
  <data>
    <tabular pivotCacheId="1745215174">
      <items count="9">
        <i x="3" s="1"/>
        <i x="7" s="1"/>
        <i x="5" s="1"/>
        <i x="2" s="1"/>
        <i x="0" s="1"/>
        <i x="8" s="1"/>
        <i x="6"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2114A38-7F79-4891-B206-15803948A709}" sourceName="Region">
  <pivotTables>
    <pivotTable tabId="6" name="PivotTable3"/>
  </pivotTables>
  <data>
    <tabular pivotCacheId="1387999080">
      <items count="4">
        <i x="2"/>
        <i x="0" s="1"/>
        <i x="3"/>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C53836F-65EA-469A-8ACB-D38E1627719A}" sourceName="Category">
  <pivotTables>
    <pivotTable tabId="6" name="PivotTable3"/>
  </pivotTables>
  <data>
    <tabular pivotCacheId="1387999080">
      <items count="3">
        <i x="1" s="1"/>
        <i x="2" nd="1"/>
        <i x="0"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A9B18DC1-495B-403F-81D8-E824E97D0CCA}" sourceName="Product">
  <pivotTables>
    <pivotTable tabId="6" name="PivotTable3"/>
  </pivotTables>
  <data>
    <tabular pivotCacheId="1387999080">
      <items count="10">
        <i x="3" s="1"/>
        <i x="8" s="1"/>
        <i x="9"/>
        <i x="2" nd="1"/>
        <i x="4" nd="1"/>
        <i x="7" nd="1"/>
        <i x="1" nd="1"/>
        <i x="0" nd="1"/>
        <i x="6" nd="1"/>
        <i x="5"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0A78FB23-3665-41B4-96E9-ACBCEBFF8C89}" sourceName="Product">
  <pivotTables>
    <pivotTable tabId="6" name="PivotTable4"/>
  </pivotTables>
  <data>
    <tabular pivotCacheId="1387999080">
      <items count="10">
        <i x="3" s="1"/>
        <i x="2" s="1"/>
        <i x="4" s="1"/>
        <i x="7" s="1"/>
        <i x="1" s="1"/>
        <i x="0" s="1"/>
        <i x="6" s="1"/>
        <i x="8" s="1"/>
        <i x="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961046D-611B-4511-B571-5ADEA04EB3A0}" cache="Slicer_Category" caption="Category" columnCount="3" rowHeight="222250"/>
  <slicer name="Product" xr10:uid="{3BB7489A-3B01-4828-BA85-5D78F6BF32B0}" cache="Slicer_Product" caption="Product"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085E2F-13EE-44A6-BD61-AC7374BC60FB}"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7CBCA9F-CC77-4CAE-888C-A5881F74A7BD}" cache="Slicer_Region1" caption="Region" columnCount="2" rowHeight="222250"/>
  <slicer name="Category 1" xr10:uid="{BBB86C1C-B6AD-469B-B578-600A49691CCE}" cache="Slicer_Category1" caption="Category" columnCount="3" rowHeight="222250"/>
  <slicer name="Product 1" xr10:uid="{08D0D361-56F0-4848-A440-76355AFF8814}" cache="Slicer_Product1" caption="Product" columnCount="9" rowHeight="222250"/>
  <slicer name="Product 2" xr10:uid="{09B7B86B-340E-4A45-BC2F-629DD8AFFE1E}" cache="Slicer_Product2" caption="Product"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9454C6-2885-4269-A0A9-6D20DD338707}" name="Sales" displayName="Sales" ref="A1:J31" tableType="queryTable" totalsRowShown="0">
  <autoFilter ref="A1:J31" xr:uid="{569454C6-2885-4269-A0A9-6D20DD338707}"/>
  <tableColumns count="10">
    <tableColumn id="1" xr3:uid="{D6AE7277-CFBD-49D3-A80C-F6D0860B3825}" uniqueName="1" name="Date" queryTableFieldId="1"/>
    <tableColumn id="2" xr3:uid="{A33315A6-B9A2-48C9-A97A-E6715EE67214}" uniqueName="2" name="Region" queryTableFieldId="2"/>
    <tableColumn id="3" xr3:uid="{5128EC1E-15FB-48AF-B6C6-6FFB74682235}" uniqueName="3" name="City" queryTableFieldId="3"/>
    <tableColumn id="4" xr3:uid="{2019C2B8-C65B-41A8-A4E3-0B11C79909F2}" uniqueName="4" name="Salesperson" queryTableFieldId="4"/>
    <tableColumn id="5" xr3:uid="{4D5948BD-1513-4581-ACFA-F971E12B14D3}" uniqueName="5" name="Category" queryTableFieldId="5"/>
    <tableColumn id="6" xr3:uid="{CC216388-EFD6-4522-B48D-2D0D5A69DA33}" uniqueName="6" name="Product" queryTableFieldId="6"/>
    <tableColumn id="7" xr3:uid="{FDBF0980-3792-4538-87FB-3D6FEB7CD553}" uniqueName="7" name="Units Sold" queryTableFieldId="7"/>
    <tableColumn id="8" xr3:uid="{A741462A-A715-49E1-9318-DA5776C4EBE8}" uniqueName="8" name="Unit Price" queryTableFieldId="8"/>
    <tableColumn id="9" xr3:uid="{F1373FFD-FFD3-4263-B437-1304F35502DD}" uniqueName="9" name="Revenue" queryTableFieldId="9"/>
    <tableColumn id="10" xr3:uid="{BDCE421D-A020-44DF-AD0B-D5399C55401B}" uniqueName="10" name="Payment Mode" queryTableField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102B1F-1079-46C0-946B-9BD9673E4FB4}" name="sales_data_100_records__1" displayName="sales_data_100_records__1" ref="A1:J101" tableType="queryTable" totalsRowShown="0">
  <autoFilter ref="A1:J101" xr:uid="{37102B1F-1079-46C0-946B-9BD9673E4FB4}"/>
  <tableColumns count="10">
    <tableColumn id="1" xr3:uid="{5B9B90B8-09B8-4E88-BC37-324313BB478D}" uniqueName="1" name="Order_ID" queryTableFieldId="1"/>
    <tableColumn id="2" xr3:uid="{02896212-7C4C-490B-9226-45AEEC570205}" uniqueName="2" name="Order_Date" queryTableFieldId="2"/>
    <tableColumn id="3" xr3:uid="{D5530A0C-1B6F-4CA7-8160-47F97F81D30E}" uniqueName="3" name="Region" queryTableFieldId="3"/>
    <tableColumn id="4" xr3:uid="{D76D4C58-A707-434E-9833-DCF0AA4FDC49}" uniqueName="4" name="Salesperson" queryTableFieldId="4"/>
    <tableColumn id="5" xr3:uid="{16AD202C-A382-4B71-8DC9-A36D182D9D5E}" uniqueName="5" name="Product" queryTableFieldId="5"/>
    <tableColumn id="6" xr3:uid="{B89A28D0-F84D-4685-8485-F42AD1D31F12}" uniqueName="6" name="Category" queryTableFieldId="6"/>
    <tableColumn id="7" xr3:uid="{C0298676-F3A2-4CFE-A1CC-4DFBDF1D7C0D}" uniqueName="7" name="Quantity" queryTableFieldId="7"/>
    <tableColumn id="8" xr3:uid="{B88E591A-C77D-4958-A17B-FF3E25F9D69D}" uniqueName="8" name="Unit_Price" queryTableFieldId="8"/>
    <tableColumn id="9" xr3:uid="{AFF14999-3EF6-4E18-9EC4-7C8141403D50}" uniqueName="9" name="Total_Sales" queryTableFieldId="9"/>
    <tableColumn id="10" xr3:uid="{3B4E293B-3754-4458-9739-1ED73388D703}" uniqueName="10" name="Payment_Mode" queryTableFieldId="10"/>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C6A5DA0-8288-4A58-828C-3F78046BCE63}" sourceName="Order_Date">
  <pivotTables>
    <pivotTable tabId="9" name="PivotTable1"/>
  </pivotTables>
  <state minimalRefreshVersion="6" lastRefreshVersion="6" pivotCacheId="1387999080" filterType="dateBetween">
    <selection startDate="2025-11-01T00:00:00" endDate="2025-11-30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94C25C1-F91C-46AA-9D57-F65A5413BA6A}" cache="NativeTimeline_Order_Date" caption="Order_Date" level="2" selectionLevel="2" scrollPosition="2025-06-06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360D7-2CAC-4237-8162-8E4EFDE84172}">
  <sheetPr codeName="Sheet1"/>
  <dimension ref="A1:T67"/>
  <sheetViews>
    <sheetView workbookViewId="0">
      <selection sqref="A1:J31"/>
    </sheetView>
  </sheetViews>
  <sheetFormatPr defaultRowHeight="13.8" x14ac:dyDescent="0.25"/>
  <cols>
    <col min="1" max="1" width="11.8984375" bestFit="1" customWidth="1"/>
    <col min="2" max="2" width="13.69921875" bestFit="1" customWidth="1"/>
    <col min="3" max="3" width="15.8984375" customWidth="1"/>
    <col min="4" max="4" width="15.59765625" customWidth="1"/>
    <col min="5" max="5" width="10.69921875" customWidth="1"/>
    <col min="6" max="6" width="15.59765625" customWidth="1"/>
    <col min="7" max="7" width="15.8984375" customWidth="1"/>
    <col min="8" max="8" width="20.3984375" customWidth="1"/>
    <col min="9" max="9" width="20.69921875" customWidth="1"/>
    <col min="10" max="13" width="5.8984375" customWidth="1"/>
    <col min="14" max="14" width="9.5" customWidth="1"/>
    <col min="15" max="15" width="6.8984375" customWidth="1"/>
    <col min="16" max="16" width="3.8984375" customWidth="1"/>
    <col min="17" max="19" width="4.8984375" customWidth="1"/>
    <col min="20" max="21" width="5.8984375" customWidth="1"/>
    <col min="22" max="22" width="8.69921875" bestFit="1" customWidth="1"/>
    <col min="23" max="23" width="5.3984375" bestFit="1" customWidth="1"/>
    <col min="24" max="24" width="3.59765625" bestFit="1" customWidth="1"/>
    <col min="25" max="28" width="4.5" bestFit="1" customWidth="1"/>
    <col min="29" max="33" width="5.3984375" bestFit="1" customWidth="1"/>
    <col min="34" max="34" width="7.796875" bestFit="1" customWidth="1"/>
    <col min="35" max="35" width="9.69921875" bestFit="1" customWidth="1"/>
  </cols>
  <sheetData>
    <row r="1" spans="1:20" x14ac:dyDescent="0.25">
      <c r="A1" t="s">
        <v>0</v>
      </c>
      <c r="B1" t="s">
        <v>1</v>
      </c>
      <c r="C1" t="s">
        <v>2</v>
      </c>
      <c r="D1" t="s">
        <v>3</v>
      </c>
      <c r="E1" t="s">
        <v>4</v>
      </c>
      <c r="F1" t="s">
        <v>5</v>
      </c>
      <c r="G1" t="s">
        <v>6</v>
      </c>
      <c r="H1" t="s">
        <v>7</v>
      </c>
      <c r="I1" t="s">
        <v>8</v>
      </c>
      <c r="J1" t="s">
        <v>9</v>
      </c>
      <c r="L1" t="s">
        <v>45</v>
      </c>
      <c r="M1" t="s">
        <v>47</v>
      </c>
    </row>
    <row r="2" spans="1:20" x14ac:dyDescent="0.25">
      <c r="A2">
        <v>46023</v>
      </c>
      <c r="B2" t="s">
        <v>10</v>
      </c>
      <c r="C2" t="s">
        <v>11</v>
      </c>
      <c r="D2" t="s">
        <v>12</v>
      </c>
      <c r="E2" t="s">
        <v>13</v>
      </c>
      <c r="F2" t="s">
        <v>14</v>
      </c>
      <c r="G2">
        <v>5</v>
      </c>
      <c r="H2">
        <v>15000</v>
      </c>
      <c r="I2">
        <v>75000</v>
      </c>
      <c r="J2" t="s">
        <v>15</v>
      </c>
      <c r="L2" t="s">
        <v>31</v>
      </c>
      <c r="M2">
        <v>33</v>
      </c>
    </row>
    <row r="3" spans="1:20" x14ac:dyDescent="0.25">
      <c r="A3">
        <v>46023</v>
      </c>
      <c r="B3" t="s">
        <v>16</v>
      </c>
      <c r="C3" t="s">
        <v>17</v>
      </c>
      <c r="D3" t="s">
        <v>18</v>
      </c>
      <c r="E3" t="s">
        <v>19</v>
      </c>
      <c r="F3" t="s">
        <v>20</v>
      </c>
      <c r="G3">
        <v>20</v>
      </c>
      <c r="H3">
        <v>500</v>
      </c>
      <c r="I3">
        <v>10000</v>
      </c>
      <c r="J3" t="s">
        <v>21</v>
      </c>
      <c r="L3" t="s">
        <v>38</v>
      </c>
      <c r="M3">
        <v>11</v>
      </c>
    </row>
    <row r="4" spans="1:20" x14ac:dyDescent="0.25">
      <c r="A4">
        <v>46024</v>
      </c>
      <c r="B4" t="s">
        <v>22</v>
      </c>
      <c r="C4" t="s">
        <v>23</v>
      </c>
      <c r="D4" t="s">
        <v>24</v>
      </c>
      <c r="E4" t="s">
        <v>13</v>
      </c>
      <c r="F4" t="s">
        <v>25</v>
      </c>
      <c r="G4">
        <v>3</v>
      </c>
      <c r="H4">
        <v>55000</v>
      </c>
      <c r="I4">
        <v>165000</v>
      </c>
      <c r="J4" t="s">
        <v>26</v>
      </c>
      <c r="L4" t="s">
        <v>34</v>
      </c>
      <c r="M4">
        <v>25</v>
      </c>
    </row>
    <row r="5" spans="1:20" x14ac:dyDescent="0.25">
      <c r="A5">
        <v>46024</v>
      </c>
      <c r="B5" t="s">
        <v>27</v>
      </c>
      <c r="C5" t="s">
        <v>28</v>
      </c>
      <c r="D5" t="s">
        <v>29</v>
      </c>
      <c r="E5" t="s">
        <v>30</v>
      </c>
      <c r="F5" t="s">
        <v>31</v>
      </c>
      <c r="G5">
        <v>10</v>
      </c>
      <c r="H5">
        <v>2000</v>
      </c>
      <c r="I5">
        <v>20000</v>
      </c>
      <c r="J5" t="s">
        <v>15</v>
      </c>
      <c r="L5" t="s">
        <v>25</v>
      </c>
      <c r="M5">
        <v>8</v>
      </c>
    </row>
    <row r="6" spans="1:20" x14ac:dyDescent="0.25">
      <c r="A6">
        <v>46025</v>
      </c>
      <c r="B6" t="s">
        <v>10</v>
      </c>
      <c r="C6" t="s">
        <v>11</v>
      </c>
      <c r="D6" t="s">
        <v>12</v>
      </c>
      <c r="E6" t="s">
        <v>13</v>
      </c>
      <c r="F6" t="s">
        <v>32</v>
      </c>
      <c r="G6">
        <v>4</v>
      </c>
      <c r="H6">
        <v>20000</v>
      </c>
      <c r="I6">
        <v>80000</v>
      </c>
      <c r="J6" t="s">
        <v>26</v>
      </c>
      <c r="L6" t="s">
        <v>14</v>
      </c>
      <c r="M6">
        <v>39</v>
      </c>
    </row>
    <row r="7" spans="1:20" x14ac:dyDescent="0.25">
      <c r="A7">
        <v>46025</v>
      </c>
      <c r="B7" t="s">
        <v>16</v>
      </c>
      <c r="C7" t="s">
        <v>33</v>
      </c>
      <c r="D7" t="s">
        <v>18</v>
      </c>
      <c r="E7" t="s">
        <v>19</v>
      </c>
      <c r="F7" t="s">
        <v>34</v>
      </c>
      <c r="G7">
        <v>8</v>
      </c>
      <c r="H7">
        <v>1500</v>
      </c>
      <c r="I7">
        <v>12000</v>
      </c>
      <c r="J7" t="s">
        <v>15</v>
      </c>
      <c r="L7" t="s">
        <v>40</v>
      </c>
      <c r="M7">
        <v>3</v>
      </c>
    </row>
    <row r="8" spans="1:20" x14ac:dyDescent="0.25">
      <c r="A8">
        <v>46026</v>
      </c>
      <c r="B8" t="s">
        <v>22</v>
      </c>
      <c r="C8" t="s">
        <v>35</v>
      </c>
      <c r="D8" t="s">
        <v>24</v>
      </c>
      <c r="E8" t="s">
        <v>30</v>
      </c>
      <c r="F8" t="s">
        <v>36</v>
      </c>
      <c r="G8">
        <v>2</v>
      </c>
      <c r="H8">
        <v>7000</v>
      </c>
      <c r="I8">
        <v>14000</v>
      </c>
      <c r="J8" t="s">
        <v>21</v>
      </c>
      <c r="L8" t="s">
        <v>36</v>
      </c>
      <c r="M8">
        <v>6</v>
      </c>
    </row>
    <row r="9" spans="1:20" x14ac:dyDescent="0.25">
      <c r="A9">
        <v>46026</v>
      </c>
      <c r="B9" t="s">
        <v>27</v>
      </c>
      <c r="C9" t="s">
        <v>28</v>
      </c>
      <c r="D9" t="s">
        <v>29</v>
      </c>
      <c r="E9" t="s">
        <v>13</v>
      </c>
      <c r="F9" t="s">
        <v>14</v>
      </c>
      <c r="G9">
        <v>6</v>
      </c>
      <c r="H9">
        <v>14000</v>
      </c>
      <c r="I9">
        <v>84000</v>
      </c>
      <c r="J9" t="s">
        <v>26</v>
      </c>
      <c r="L9" t="s">
        <v>32</v>
      </c>
      <c r="M9">
        <v>12</v>
      </c>
    </row>
    <row r="10" spans="1:20" x14ac:dyDescent="0.25">
      <c r="A10">
        <v>46027</v>
      </c>
      <c r="B10" t="s">
        <v>10</v>
      </c>
      <c r="C10" t="s">
        <v>37</v>
      </c>
      <c r="D10" t="s">
        <v>12</v>
      </c>
      <c r="E10" t="s">
        <v>19</v>
      </c>
      <c r="F10" t="s">
        <v>38</v>
      </c>
      <c r="G10">
        <v>5</v>
      </c>
      <c r="H10">
        <v>2500</v>
      </c>
      <c r="I10">
        <v>12500</v>
      </c>
      <c r="J10" t="s">
        <v>15</v>
      </c>
      <c r="L10" t="s">
        <v>20</v>
      </c>
      <c r="M10">
        <v>78</v>
      </c>
    </row>
    <row r="11" spans="1:20" x14ac:dyDescent="0.25">
      <c r="A11">
        <v>46027</v>
      </c>
      <c r="B11" t="s">
        <v>16</v>
      </c>
      <c r="C11" t="s">
        <v>17</v>
      </c>
      <c r="D11" t="s">
        <v>18</v>
      </c>
      <c r="E11" t="s">
        <v>13</v>
      </c>
      <c r="F11" t="s">
        <v>25</v>
      </c>
      <c r="G11">
        <v>2</v>
      </c>
      <c r="H11">
        <v>60000</v>
      </c>
      <c r="I11">
        <v>120000</v>
      </c>
      <c r="J11" t="s">
        <v>26</v>
      </c>
      <c r="L11" t="s">
        <v>46</v>
      </c>
      <c r="M11">
        <v>215</v>
      </c>
    </row>
    <row r="12" spans="1:20" x14ac:dyDescent="0.25">
      <c r="A12">
        <v>46028</v>
      </c>
      <c r="B12" t="s">
        <v>22</v>
      </c>
      <c r="C12" t="s">
        <v>23</v>
      </c>
      <c r="D12" t="s">
        <v>24</v>
      </c>
      <c r="E12" t="s">
        <v>19</v>
      </c>
      <c r="F12" t="s">
        <v>20</v>
      </c>
      <c r="G12">
        <v>15</v>
      </c>
      <c r="H12">
        <v>600</v>
      </c>
      <c r="I12">
        <v>9000</v>
      </c>
      <c r="J12" t="s">
        <v>21</v>
      </c>
      <c r="M12" t="s">
        <v>48</v>
      </c>
    </row>
    <row r="13" spans="1:20" x14ac:dyDescent="0.25">
      <c r="A13">
        <v>46028</v>
      </c>
      <c r="B13" t="s">
        <v>27</v>
      </c>
      <c r="C13" t="s">
        <v>39</v>
      </c>
      <c r="D13" t="s">
        <v>29</v>
      </c>
      <c r="E13" t="s">
        <v>30</v>
      </c>
      <c r="F13" t="s">
        <v>40</v>
      </c>
      <c r="G13">
        <v>1</v>
      </c>
      <c r="H13">
        <v>25000</v>
      </c>
      <c r="I13">
        <v>25000</v>
      </c>
      <c r="J13" t="s">
        <v>15</v>
      </c>
      <c r="M13" t="s">
        <v>27</v>
      </c>
      <c r="O13" t="s">
        <v>10</v>
      </c>
      <c r="Q13" t="s">
        <v>22</v>
      </c>
      <c r="S13" t="s">
        <v>16</v>
      </c>
    </row>
    <row r="14" spans="1:20" x14ac:dyDescent="0.25">
      <c r="A14">
        <v>46029</v>
      </c>
      <c r="B14" t="s">
        <v>10</v>
      </c>
      <c r="C14" t="s">
        <v>11</v>
      </c>
      <c r="D14" t="s">
        <v>12</v>
      </c>
      <c r="E14" t="s">
        <v>30</v>
      </c>
      <c r="F14" t="s">
        <v>31</v>
      </c>
      <c r="G14">
        <v>12</v>
      </c>
      <c r="H14">
        <v>1800</v>
      </c>
      <c r="I14">
        <v>21600</v>
      </c>
      <c r="J14" t="s">
        <v>26</v>
      </c>
      <c r="L14" t="s">
        <v>45</v>
      </c>
      <c r="M14" t="s">
        <v>47</v>
      </c>
      <c r="N14" t="s">
        <v>49</v>
      </c>
      <c r="O14" t="s">
        <v>47</v>
      </c>
      <c r="P14" t="s">
        <v>49</v>
      </c>
      <c r="Q14" t="s">
        <v>47</v>
      </c>
      <c r="R14" t="s">
        <v>49</v>
      </c>
      <c r="S14" t="s">
        <v>47</v>
      </c>
      <c r="T14" t="s">
        <v>49</v>
      </c>
    </row>
    <row r="15" spans="1:20" x14ac:dyDescent="0.25">
      <c r="A15">
        <v>46029</v>
      </c>
      <c r="B15" t="s">
        <v>16</v>
      </c>
      <c r="C15" t="s">
        <v>41</v>
      </c>
      <c r="D15" t="s">
        <v>18</v>
      </c>
      <c r="E15" t="s">
        <v>13</v>
      </c>
      <c r="F15" t="s">
        <v>32</v>
      </c>
      <c r="G15">
        <v>3</v>
      </c>
      <c r="H15">
        <v>22000</v>
      </c>
      <c r="I15">
        <v>66000</v>
      </c>
      <c r="J15" t="s">
        <v>15</v>
      </c>
      <c r="L15" t="s">
        <v>19</v>
      </c>
      <c r="M15">
        <v>28</v>
      </c>
      <c r="N15">
        <v>1900</v>
      </c>
      <c r="O15">
        <v>12</v>
      </c>
      <c r="P15">
        <v>4100</v>
      </c>
      <c r="Q15">
        <v>21</v>
      </c>
      <c r="R15">
        <v>3200</v>
      </c>
      <c r="S15">
        <v>53</v>
      </c>
      <c r="T15">
        <v>2550</v>
      </c>
    </row>
    <row r="16" spans="1:20" x14ac:dyDescent="0.25">
      <c r="A16">
        <v>46030</v>
      </c>
      <c r="B16" t="s">
        <v>22</v>
      </c>
      <c r="C16" t="s">
        <v>42</v>
      </c>
      <c r="D16" t="s">
        <v>24</v>
      </c>
      <c r="E16" t="s">
        <v>13</v>
      </c>
      <c r="F16" t="s">
        <v>14</v>
      </c>
      <c r="G16">
        <v>7</v>
      </c>
      <c r="H16">
        <v>15500</v>
      </c>
      <c r="I16">
        <v>108500</v>
      </c>
      <c r="J16" t="s">
        <v>26</v>
      </c>
      <c r="L16" t="s">
        <v>38</v>
      </c>
      <c r="O16">
        <v>5</v>
      </c>
      <c r="P16">
        <v>2500</v>
      </c>
      <c r="Q16">
        <v>6</v>
      </c>
      <c r="R16">
        <v>2600</v>
      </c>
    </row>
    <row r="17" spans="1:20" x14ac:dyDescent="0.25">
      <c r="A17">
        <v>46030</v>
      </c>
      <c r="B17" t="s">
        <v>27</v>
      </c>
      <c r="C17" t="s">
        <v>43</v>
      </c>
      <c r="D17" t="s">
        <v>29</v>
      </c>
      <c r="E17" t="s">
        <v>19</v>
      </c>
      <c r="F17" t="s">
        <v>34</v>
      </c>
      <c r="G17">
        <v>10</v>
      </c>
      <c r="H17">
        <v>1400</v>
      </c>
      <c r="I17">
        <v>14000</v>
      </c>
      <c r="J17" t="s">
        <v>21</v>
      </c>
      <c r="L17" t="s">
        <v>34</v>
      </c>
      <c r="M17">
        <v>10</v>
      </c>
      <c r="N17">
        <v>1400</v>
      </c>
      <c r="O17">
        <v>7</v>
      </c>
      <c r="P17">
        <v>1600</v>
      </c>
      <c r="S17">
        <v>8</v>
      </c>
      <c r="T17">
        <v>1500</v>
      </c>
    </row>
    <row r="18" spans="1:20" x14ac:dyDescent="0.25">
      <c r="A18">
        <v>46031</v>
      </c>
      <c r="B18" t="s">
        <v>10</v>
      </c>
      <c r="C18" t="s">
        <v>44</v>
      </c>
      <c r="D18" t="s">
        <v>12</v>
      </c>
      <c r="E18" t="s">
        <v>13</v>
      </c>
      <c r="F18" t="s">
        <v>25</v>
      </c>
      <c r="G18">
        <v>1</v>
      </c>
      <c r="H18">
        <v>58000</v>
      </c>
      <c r="I18">
        <v>58000</v>
      </c>
      <c r="J18" t="s">
        <v>15</v>
      </c>
      <c r="L18" t="s">
        <v>20</v>
      </c>
      <c r="M18">
        <v>18</v>
      </c>
      <c r="N18">
        <v>500</v>
      </c>
      <c r="Q18">
        <v>15</v>
      </c>
      <c r="R18">
        <v>600</v>
      </c>
      <c r="S18">
        <v>45</v>
      </c>
      <c r="T18">
        <v>1050</v>
      </c>
    </row>
    <row r="19" spans="1:20" x14ac:dyDescent="0.25">
      <c r="A19">
        <v>46031</v>
      </c>
      <c r="B19" t="s">
        <v>16</v>
      </c>
      <c r="C19" t="s">
        <v>17</v>
      </c>
      <c r="D19" t="s">
        <v>18</v>
      </c>
      <c r="E19" t="s">
        <v>30</v>
      </c>
      <c r="F19" t="s">
        <v>36</v>
      </c>
      <c r="G19">
        <v>4</v>
      </c>
      <c r="H19">
        <v>7500</v>
      </c>
      <c r="I19">
        <v>30000</v>
      </c>
      <c r="J19" t="s">
        <v>26</v>
      </c>
      <c r="L19" t="s">
        <v>50</v>
      </c>
      <c r="M19">
        <v>0</v>
      </c>
      <c r="N19">
        <v>0</v>
      </c>
      <c r="O19">
        <v>0</v>
      </c>
      <c r="P19">
        <v>0</v>
      </c>
      <c r="Q19">
        <v>0</v>
      </c>
      <c r="R19">
        <v>0</v>
      </c>
      <c r="S19">
        <v>0</v>
      </c>
      <c r="T19">
        <v>0</v>
      </c>
    </row>
    <row r="20" spans="1:20" x14ac:dyDescent="0.25">
      <c r="A20">
        <v>46032</v>
      </c>
      <c r="B20" t="s">
        <v>22</v>
      </c>
      <c r="C20" t="s">
        <v>35</v>
      </c>
      <c r="D20" t="s">
        <v>24</v>
      </c>
      <c r="E20" t="s">
        <v>19</v>
      </c>
      <c r="F20" t="s">
        <v>38</v>
      </c>
      <c r="G20">
        <v>6</v>
      </c>
      <c r="H20">
        <v>2600</v>
      </c>
      <c r="I20">
        <v>15600</v>
      </c>
      <c r="J20" t="s">
        <v>15</v>
      </c>
      <c r="L20" t="s">
        <v>13</v>
      </c>
      <c r="M20">
        <v>16</v>
      </c>
      <c r="N20">
        <v>85500</v>
      </c>
      <c r="O20">
        <v>24</v>
      </c>
      <c r="P20">
        <v>129000</v>
      </c>
      <c r="Q20">
        <v>10</v>
      </c>
      <c r="R20">
        <v>70500</v>
      </c>
      <c r="S20">
        <v>9</v>
      </c>
      <c r="T20">
        <v>96800</v>
      </c>
    </row>
    <row r="21" spans="1:20" x14ac:dyDescent="0.25">
      <c r="A21">
        <v>46032</v>
      </c>
      <c r="B21" t="s">
        <v>27</v>
      </c>
      <c r="C21" t="s">
        <v>28</v>
      </c>
      <c r="D21" t="s">
        <v>29</v>
      </c>
      <c r="E21" t="s">
        <v>13</v>
      </c>
      <c r="F21" t="s">
        <v>14</v>
      </c>
      <c r="G21">
        <v>8</v>
      </c>
      <c r="H21">
        <v>14500</v>
      </c>
      <c r="I21">
        <v>116000</v>
      </c>
      <c r="J21" t="s">
        <v>26</v>
      </c>
      <c r="L21" t="s">
        <v>25</v>
      </c>
      <c r="M21">
        <v>2</v>
      </c>
      <c r="N21">
        <v>57000</v>
      </c>
      <c r="O21">
        <v>1</v>
      </c>
      <c r="P21">
        <v>58000</v>
      </c>
      <c r="Q21">
        <v>3</v>
      </c>
      <c r="R21">
        <v>55000</v>
      </c>
      <c r="S21">
        <v>2</v>
      </c>
      <c r="T21">
        <v>60000</v>
      </c>
    </row>
    <row r="22" spans="1:20" x14ac:dyDescent="0.25">
      <c r="A22">
        <v>46033</v>
      </c>
      <c r="B22" t="s">
        <v>10</v>
      </c>
      <c r="C22" t="s">
        <v>11</v>
      </c>
      <c r="D22" t="s">
        <v>12</v>
      </c>
      <c r="E22" t="s">
        <v>13</v>
      </c>
      <c r="F22" t="s">
        <v>14</v>
      </c>
      <c r="G22">
        <v>9</v>
      </c>
      <c r="H22">
        <v>15000</v>
      </c>
      <c r="I22">
        <v>135000</v>
      </c>
      <c r="J22" t="s">
        <v>21</v>
      </c>
      <c r="L22" t="s">
        <v>14</v>
      </c>
      <c r="M22">
        <v>14</v>
      </c>
      <c r="N22">
        <v>28500</v>
      </c>
      <c r="O22">
        <v>14</v>
      </c>
      <c r="P22">
        <v>30000</v>
      </c>
      <c r="Q22">
        <v>7</v>
      </c>
      <c r="R22">
        <v>15500</v>
      </c>
      <c r="S22">
        <v>4</v>
      </c>
      <c r="T22">
        <v>14800</v>
      </c>
    </row>
    <row r="23" spans="1:20" x14ac:dyDescent="0.25">
      <c r="A23">
        <v>46033</v>
      </c>
      <c r="B23" t="s">
        <v>16</v>
      </c>
      <c r="C23" t="s">
        <v>33</v>
      </c>
      <c r="D23" t="s">
        <v>18</v>
      </c>
      <c r="E23" t="s">
        <v>19</v>
      </c>
      <c r="F23" t="s">
        <v>20</v>
      </c>
      <c r="G23">
        <v>25</v>
      </c>
      <c r="H23">
        <v>550</v>
      </c>
      <c r="I23">
        <v>13750</v>
      </c>
      <c r="J23" t="s">
        <v>15</v>
      </c>
      <c r="L23" t="s">
        <v>32</v>
      </c>
      <c r="O23">
        <v>9</v>
      </c>
      <c r="P23">
        <v>41000</v>
      </c>
      <c r="S23">
        <v>3</v>
      </c>
      <c r="T23">
        <v>22000</v>
      </c>
    </row>
    <row r="24" spans="1:20" x14ac:dyDescent="0.25">
      <c r="A24">
        <v>46034</v>
      </c>
      <c r="B24" t="s">
        <v>22</v>
      </c>
      <c r="C24" t="s">
        <v>23</v>
      </c>
      <c r="D24" t="s">
        <v>24</v>
      </c>
      <c r="E24" t="s">
        <v>30</v>
      </c>
      <c r="F24" t="s">
        <v>31</v>
      </c>
      <c r="G24">
        <v>5</v>
      </c>
      <c r="H24">
        <v>2100</v>
      </c>
      <c r="I24">
        <v>10500</v>
      </c>
      <c r="J24" t="s">
        <v>26</v>
      </c>
      <c r="L24" t="s">
        <v>50</v>
      </c>
      <c r="M24">
        <v>0</v>
      </c>
      <c r="N24">
        <v>0</v>
      </c>
      <c r="O24">
        <v>0</v>
      </c>
      <c r="P24">
        <v>0</v>
      </c>
      <c r="Q24">
        <v>0</v>
      </c>
      <c r="R24">
        <v>0</v>
      </c>
      <c r="S24">
        <v>0</v>
      </c>
      <c r="T24">
        <v>0</v>
      </c>
    </row>
    <row r="25" spans="1:20" x14ac:dyDescent="0.25">
      <c r="A25">
        <v>46034</v>
      </c>
      <c r="B25" t="s">
        <v>27</v>
      </c>
      <c r="C25" t="s">
        <v>39</v>
      </c>
      <c r="D25" t="s">
        <v>29</v>
      </c>
      <c r="E25" t="s">
        <v>13</v>
      </c>
      <c r="F25" t="s">
        <v>25</v>
      </c>
      <c r="G25">
        <v>2</v>
      </c>
      <c r="H25">
        <v>57000</v>
      </c>
      <c r="I25">
        <v>114000</v>
      </c>
      <c r="J25" t="s">
        <v>15</v>
      </c>
      <c r="L25" t="s">
        <v>30</v>
      </c>
      <c r="M25">
        <v>11</v>
      </c>
      <c r="N25">
        <v>27000</v>
      </c>
      <c r="O25">
        <v>12</v>
      </c>
      <c r="P25">
        <v>1800</v>
      </c>
      <c r="Q25">
        <v>9</v>
      </c>
      <c r="R25">
        <v>36100</v>
      </c>
      <c r="S25">
        <v>10</v>
      </c>
      <c r="T25">
        <v>9400</v>
      </c>
    </row>
    <row r="26" spans="1:20" x14ac:dyDescent="0.25">
      <c r="A26">
        <v>46035</v>
      </c>
      <c r="B26" t="s">
        <v>10</v>
      </c>
      <c r="C26" t="s">
        <v>37</v>
      </c>
      <c r="D26" t="s">
        <v>12</v>
      </c>
      <c r="E26" t="s">
        <v>19</v>
      </c>
      <c r="F26" t="s">
        <v>34</v>
      </c>
      <c r="G26">
        <v>7</v>
      </c>
      <c r="H26">
        <v>1600</v>
      </c>
      <c r="I26">
        <v>11200</v>
      </c>
      <c r="J26" t="s">
        <v>26</v>
      </c>
      <c r="L26" t="s">
        <v>31</v>
      </c>
      <c r="M26">
        <v>10</v>
      </c>
      <c r="N26">
        <v>2000</v>
      </c>
      <c r="O26">
        <v>12</v>
      </c>
      <c r="P26">
        <v>1800</v>
      </c>
      <c r="Q26">
        <v>5</v>
      </c>
      <c r="R26">
        <v>2100</v>
      </c>
      <c r="S26">
        <v>6</v>
      </c>
      <c r="T26">
        <v>1900</v>
      </c>
    </row>
    <row r="27" spans="1:20" x14ac:dyDescent="0.25">
      <c r="A27">
        <v>46035</v>
      </c>
      <c r="B27" t="s">
        <v>16</v>
      </c>
      <c r="C27" t="s">
        <v>41</v>
      </c>
      <c r="D27" t="s">
        <v>18</v>
      </c>
      <c r="E27" t="s">
        <v>13</v>
      </c>
      <c r="F27" t="s">
        <v>14</v>
      </c>
      <c r="G27">
        <v>4</v>
      </c>
      <c r="H27">
        <v>14800</v>
      </c>
      <c r="I27">
        <v>59200</v>
      </c>
      <c r="J27" t="s">
        <v>21</v>
      </c>
      <c r="L27" t="s">
        <v>40</v>
      </c>
      <c r="M27">
        <v>1</v>
      </c>
      <c r="N27">
        <v>25000</v>
      </c>
      <c r="Q27">
        <v>2</v>
      </c>
      <c r="R27">
        <v>27000</v>
      </c>
    </row>
    <row r="28" spans="1:20" x14ac:dyDescent="0.25">
      <c r="A28">
        <v>46036</v>
      </c>
      <c r="B28" t="s">
        <v>22</v>
      </c>
      <c r="C28" t="s">
        <v>42</v>
      </c>
      <c r="D28" t="s">
        <v>24</v>
      </c>
      <c r="E28" t="s">
        <v>30</v>
      </c>
      <c r="F28" t="s">
        <v>40</v>
      </c>
      <c r="G28">
        <v>2</v>
      </c>
      <c r="H28">
        <v>27000</v>
      </c>
      <c r="I28">
        <v>54000</v>
      </c>
      <c r="J28" t="s">
        <v>26</v>
      </c>
      <c r="L28" t="s">
        <v>36</v>
      </c>
      <c r="Q28">
        <v>2</v>
      </c>
      <c r="R28">
        <v>7000</v>
      </c>
      <c r="S28">
        <v>4</v>
      </c>
      <c r="T28">
        <v>7500</v>
      </c>
    </row>
    <row r="29" spans="1:20" x14ac:dyDescent="0.25">
      <c r="A29">
        <v>46036</v>
      </c>
      <c r="B29" t="s">
        <v>27</v>
      </c>
      <c r="C29" t="s">
        <v>43</v>
      </c>
      <c r="D29" t="s">
        <v>29</v>
      </c>
      <c r="E29" t="s">
        <v>19</v>
      </c>
      <c r="F29" t="s">
        <v>20</v>
      </c>
      <c r="G29">
        <v>18</v>
      </c>
      <c r="H29">
        <v>500</v>
      </c>
      <c r="I29">
        <v>9000</v>
      </c>
      <c r="J29" t="s">
        <v>15</v>
      </c>
      <c r="L29" t="s">
        <v>50</v>
      </c>
      <c r="M29">
        <v>0</v>
      </c>
      <c r="N29">
        <v>0</v>
      </c>
      <c r="O29">
        <v>0</v>
      </c>
      <c r="P29">
        <v>0</v>
      </c>
      <c r="Q29">
        <v>0</v>
      </c>
      <c r="R29">
        <v>0</v>
      </c>
      <c r="S29">
        <v>0</v>
      </c>
      <c r="T29">
        <v>0</v>
      </c>
    </row>
    <row r="30" spans="1:20" x14ac:dyDescent="0.25">
      <c r="A30">
        <v>46037</v>
      </c>
      <c r="B30" t="s">
        <v>10</v>
      </c>
      <c r="C30" t="s">
        <v>11</v>
      </c>
      <c r="D30" t="s">
        <v>12</v>
      </c>
      <c r="E30" t="s">
        <v>13</v>
      </c>
      <c r="F30" t="s">
        <v>32</v>
      </c>
      <c r="G30">
        <v>5</v>
      </c>
      <c r="H30">
        <v>21000</v>
      </c>
      <c r="I30">
        <v>105000</v>
      </c>
      <c r="J30" t="s">
        <v>26</v>
      </c>
      <c r="L30" t="s">
        <v>46</v>
      </c>
      <c r="M30">
        <v>55</v>
      </c>
      <c r="N30">
        <v>114400</v>
      </c>
      <c r="O30">
        <v>48</v>
      </c>
      <c r="P30">
        <v>134900</v>
      </c>
      <c r="Q30">
        <v>40</v>
      </c>
      <c r="R30">
        <v>109800</v>
      </c>
      <c r="S30">
        <v>72</v>
      </c>
      <c r="T30">
        <v>108750</v>
      </c>
    </row>
    <row r="31" spans="1:20" x14ac:dyDescent="0.25">
      <c r="A31">
        <v>46037</v>
      </c>
      <c r="B31" t="s">
        <v>16</v>
      </c>
      <c r="C31" t="s">
        <v>17</v>
      </c>
      <c r="D31" t="s">
        <v>18</v>
      </c>
      <c r="E31" t="s">
        <v>30</v>
      </c>
      <c r="F31" t="s">
        <v>31</v>
      </c>
      <c r="G31">
        <v>6</v>
      </c>
      <c r="H31">
        <v>1900</v>
      </c>
      <c r="I31">
        <v>11400</v>
      </c>
      <c r="J31" t="s">
        <v>21</v>
      </c>
    </row>
    <row r="44" spans="1:2" x14ac:dyDescent="0.25">
      <c r="A44" t="s">
        <v>45</v>
      </c>
      <c r="B44" t="s">
        <v>51</v>
      </c>
    </row>
    <row r="45" spans="1:2" x14ac:dyDescent="0.25">
      <c r="A45" t="s">
        <v>27</v>
      </c>
      <c r="B45">
        <v>382000</v>
      </c>
    </row>
    <row r="46" spans="1:2" x14ac:dyDescent="0.25">
      <c r="A46" t="s">
        <v>39</v>
      </c>
      <c r="B46">
        <v>139000</v>
      </c>
    </row>
    <row r="47" spans="1:2" x14ac:dyDescent="0.25">
      <c r="A47" t="s">
        <v>28</v>
      </c>
      <c r="B47">
        <v>220000</v>
      </c>
    </row>
    <row r="48" spans="1:2" x14ac:dyDescent="0.25">
      <c r="A48" t="s">
        <v>43</v>
      </c>
      <c r="B48">
        <v>23000</v>
      </c>
    </row>
    <row r="49" spans="1:2" x14ac:dyDescent="0.25">
      <c r="A49" t="s">
        <v>10</v>
      </c>
      <c r="B49">
        <v>498300</v>
      </c>
    </row>
    <row r="50" spans="1:2" x14ac:dyDescent="0.25">
      <c r="A50" t="s">
        <v>44</v>
      </c>
      <c r="B50">
        <v>58000</v>
      </c>
    </row>
    <row r="51" spans="1:2" x14ac:dyDescent="0.25">
      <c r="A51" t="s">
        <v>11</v>
      </c>
      <c r="B51">
        <v>416600</v>
      </c>
    </row>
    <row r="52" spans="1:2" x14ac:dyDescent="0.25">
      <c r="A52" t="s">
        <v>37</v>
      </c>
      <c r="B52">
        <v>23700</v>
      </c>
    </row>
    <row r="53" spans="1:2" x14ac:dyDescent="0.25">
      <c r="A53" t="s">
        <v>22</v>
      </c>
      <c r="B53">
        <v>376600</v>
      </c>
    </row>
    <row r="54" spans="1:2" x14ac:dyDescent="0.25">
      <c r="A54" t="s">
        <v>23</v>
      </c>
      <c r="B54">
        <v>184500</v>
      </c>
    </row>
    <row r="55" spans="1:2" x14ac:dyDescent="0.25">
      <c r="A55" t="s">
        <v>35</v>
      </c>
      <c r="B55">
        <v>29600</v>
      </c>
    </row>
    <row r="56" spans="1:2" x14ac:dyDescent="0.25">
      <c r="A56" t="s">
        <v>42</v>
      </c>
      <c r="B56">
        <v>162500</v>
      </c>
    </row>
    <row r="57" spans="1:2" x14ac:dyDescent="0.25">
      <c r="A57" t="s">
        <v>16</v>
      </c>
      <c r="B57">
        <v>322350</v>
      </c>
    </row>
    <row r="58" spans="1:2" x14ac:dyDescent="0.25">
      <c r="A58" t="s">
        <v>17</v>
      </c>
      <c r="B58">
        <v>171400</v>
      </c>
    </row>
    <row r="59" spans="1:2" x14ac:dyDescent="0.25">
      <c r="A59" t="s">
        <v>33</v>
      </c>
      <c r="B59">
        <v>25750</v>
      </c>
    </row>
    <row r="60" spans="1:2" x14ac:dyDescent="0.25">
      <c r="A60" t="s">
        <v>41</v>
      </c>
      <c r="B60">
        <v>125200</v>
      </c>
    </row>
    <row r="61" spans="1:2" x14ac:dyDescent="0.25">
      <c r="A61" t="s">
        <v>46</v>
      </c>
      <c r="B61">
        <v>1579250</v>
      </c>
    </row>
    <row r="63" spans="1:2" x14ac:dyDescent="0.25">
      <c r="A63" t="s">
        <v>45</v>
      </c>
      <c r="B63" t="s">
        <v>49</v>
      </c>
    </row>
    <row r="64" spans="1:2" x14ac:dyDescent="0.25">
      <c r="A64" t="s">
        <v>19</v>
      </c>
      <c r="B64">
        <v>11750</v>
      </c>
    </row>
    <row r="65" spans="1:2" x14ac:dyDescent="0.25">
      <c r="A65" t="s">
        <v>13</v>
      </c>
      <c r="B65">
        <v>381800</v>
      </c>
    </row>
    <row r="66" spans="1:2" x14ac:dyDescent="0.25">
      <c r="A66" t="s">
        <v>30</v>
      </c>
      <c r="B66">
        <v>74300</v>
      </c>
    </row>
    <row r="67" spans="1:2" x14ac:dyDescent="0.25">
      <c r="A67" t="s">
        <v>46</v>
      </c>
      <c r="B67">
        <v>467850</v>
      </c>
    </row>
  </sheetData>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80308-ABC6-4BBE-B085-529F029B49EE}">
  <sheetPr codeName="Sheet2"/>
  <dimension ref="A1:V17"/>
  <sheetViews>
    <sheetView workbookViewId="0">
      <selection activeCell="A18" sqref="A18"/>
    </sheetView>
  </sheetViews>
  <sheetFormatPr defaultRowHeight="13.8" x14ac:dyDescent="0.25"/>
  <cols>
    <col min="1" max="1" width="11.8984375" bestFit="1" customWidth="1"/>
    <col min="2" max="2" width="13.69921875" bestFit="1" customWidth="1"/>
    <col min="3" max="4" width="14.796875" customWidth="1"/>
  </cols>
  <sheetData>
    <row r="1" spans="1:22" x14ac:dyDescent="0.25">
      <c r="A1" s="4" t="s">
        <v>52</v>
      </c>
      <c r="B1" s="4"/>
      <c r="C1" s="4"/>
      <c r="D1" s="4"/>
      <c r="E1" s="4"/>
      <c r="F1" s="4"/>
      <c r="G1" s="4"/>
      <c r="H1" s="4"/>
      <c r="I1" s="4"/>
      <c r="J1" s="4"/>
      <c r="K1" s="4"/>
      <c r="L1" s="4"/>
      <c r="M1" s="4"/>
      <c r="N1" s="4"/>
      <c r="O1" s="4"/>
      <c r="P1" s="4"/>
      <c r="Q1" s="4"/>
      <c r="R1" s="4"/>
      <c r="S1" s="4"/>
      <c r="T1" s="4"/>
      <c r="U1" s="4"/>
      <c r="V1" s="4"/>
    </row>
    <row r="2" spans="1:22" x14ac:dyDescent="0.25">
      <c r="A2" t="s">
        <v>45</v>
      </c>
      <c r="B2" t="s">
        <v>51</v>
      </c>
    </row>
    <row r="3" spans="1:22" x14ac:dyDescent="0.25">
      <c r="A3" t="s">
        <v>27</v>
      </c>
      <c r="B3">
        <v>382000</v>
      </c>
    </row>
    <row r="4" spans="1:22" x14ac:dyDescent="0.25">
      <c r="A4" t="s">
        <v>46</v>
      </c>
      <c r="B4">
        <v>382000</v>
      </c>
    </row>
    <row r="17" ht="1.95" customHeight="1" x14ac:dyDescent="0.25"/>
  </sheetData>
  <mergeCells count="1">
    <mergeCell ref="A1:V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0E4FC-ED52-4F32-8B16-815F6490E37F}">
  <sheetPr codeName="Sheet3"/>
  <dimension ref="A1:J101"/>
  <sheetViews>
    <sheetView workbookViewId="0">
      <selection activeCell="M21" sqref="M21"/>
    </sheetView>
  </sheetViews>
  <sheetFormatPr defaultRowHeight="13.8" x14ac:dyDescent="0.25"/>
  <cols>
    <col min="1" max="1" width="9.796875" bestFit="1" customWidth="1"/>
    <col min="2" max="2" width="11.69921875" bestFit="1" customWidth="1"/>
    <col min="3" max="3" width="8.3984375" bestFit="1" customWidth="1"/>
    <col min="4" max="4" width="12.296875" bestFit="1" customWidth="1"/>
    <col min="5" max="5" width="13.8984375" bestFit="1" customWidth="1"/>
    <col min="6" max="6" width="10" bestFit="1" customWidth="1"/>
    <col min="7" max="7" width="9.69921875" bestFit="1" customWidth="1"/>
    <col min="8" max="8" width="10.59765625" bestFit="1" customWidth="1"/>
    <col min="9" max="9" width="11.796875" bestFit="1" customWidth="1"/>
    <col min="10" max="10" width="15" bestFit="1" customWidth="1"/>
  </cols>
  <sheetData>
    <row r="1" spans="1:10" x14ac:dyDescent="0.25">
      <c r="A1" t="s">
        <v>53</v>
      </c>
      <c r="B1" t="s">
        <v>54</v>
      </c>
      <c r="C1" t="s">
        <v>1</v>
      </c>
      <c r="D1" t="s">
        <v>3</v>
      </c>
      <c r="E1" t="s">
        <v>5</v>
      </c>
      <c r="F1" t="s">
        <v>4</v>
      </c>
      <c r="G1" t="s">
        <v>55</v>
      </c>
      <c r="H1" t="s">
        <v>56</v>
      </c>
      <c r="I1" t="s">
        <v>57</v>
      </c>
      <c r="J1" t="s">
        <v>58</v>
      </c>
    </row>
    <row r="2" spans="1:10" x14ac:dyDescent="0.25">
      <c r="A2">
        <v>1001</v>
      </c>
      <c r="B2">
        <v>45672</v>
      </c>
      <c r="C2" t="s">
        <v>10</v>
      </c>
      <c r="D2" t="s">
        <v>59</v>
      </c>
      <c r="E2" t="s">
        <v>60</v>
      </c>
      <c r="F2" t="s">
        <v>13</v>
      </c>
      <c r="G2">
        <v>1</v>
      </c>
      <c r="H2">
        <v>15000</v>
      </c>
      <c r="I2">
        <v>15000</v>
      </c>
      <c r="J2" t="s">
        <v>21</v>
      </c>
    </row>
    <row r="3" spans="1:10" x14ac:dyDescent="0.25">
      <c r="A3">
        <v>1002</v>
      </c>
      <c r="B3">
        <v>45811</v>
      </c>
      <c r="C3" t="s">
        <v>16</v>
      </c>
      <c r="D3" t="s">
        <v>61</v>
      </c>
      <c r="E3" t="s">
        <v>14</v>
      </c>
      <c r="F3" t="s">
        <v>13</v>
      </c>
      <c r="G3">
        <v>8</v>
      </c>
      <c r="H3">
        <v>20000</v>
      </c>
      <c r="I3">
        <v>160000</v>
      </c>
      <c r="J3" t="s">
        <v>62</v>
      </c>
    </row>
    <row r="4" spans="1:10" x14ac:dyDescent="0.25">
      <c r="A4">
        <v>1003</v>
      </c>
      <c r="B4">
        <v>45833</v>
      </c>
      <c r="C4" t="s">
        <v>27</v>
      </c>
      <c r="D4" t="s">
        <v>59</v>
      </c>
      <c r="E4" t="s">
        <v>63</v>
      </c>
      <c r="F4" t="s">
        <v>13</v>
      </c>
      <c r="G4">
        <v>9</v>
      </c>
      <c r="H4">
        <v>1500</v>
      </c>
      <c r="I4">
        <v>13500</v>
      </c>
      <c r="J4" t="s">
        <v>62</v>
      </c>
    </row>
    <row r="5" spans="1:10" x14ac:dyDescent="0.25">
      <c r="A5">
        <v>1004</v>
      </c>
      <c r="B5">
        <v>45732</v>
      </c>
      <c r="C5" t="s">
        <v>16</v>
      </c>
      <c r="D5" t="s">
        <v>29</v>
      </c>
      <c r="E5" t="s">
        <v>31</v>
      </c>
      <c r="F5" t="s">
        <v>30</v>
      </c>
      <c r="G5">
        <v>6</v>
      </c>
      <c r="H5">
        <v>2500</v>
      </c>
      <c r="I5">
        <v>15000</v>
      </c>
      <c r="J5" t="s">
        <v>21</v>
      </c>
    </row>
    <row r="6" spans="1:10" x14ac:dyDescent="0.25">
      <c r="A6">
        <v>1005</v>
      </c>
      <c r="B6">
        <v>45776</v>
      </c>
      <c r="C6" t="s">
        <v>22</v>
      </c>
      <c r="D6" t="s">
        <v>64</v>
      </c>
      <c r="E6" t="s">
        <v>25</v>
      </c>
      <c r="F6" t="s">
        <v>13</v>
      </c>
      <c r="G6">
        <v>10</v>
      </c>
      <c r="H6">
        <v>55000</v>
      </c>
      <c r="I6">
        <v>550000</v>
      </c>
      <c r="J6" t="s">
        <v>15</v>
      </c>
    </row>
    <row r="7" spans="1:10" x14ac:dyDescent="0.25">
      <c r="A7">
        <v>1006</v>
      </c>
      <c r="B7">
        <v>45707</v>
      </c>
      <c r="C7" t="s">
        <v>16</v>
      </c>
      <c r="D7" t="s">
        <v>59</v>
      </c>
      <c r="E7" t="s">
        <v>25</v>
      </c>
      <c r="F7" t="s">
        <v>13</v>
      </c>
      <c r="G7">
        <v>10</v>
      </c>
      <c r="H7">
        <v>55000</v>
      </c>
      <c r="I7">
        <v>550000</v>
      </c>
      <c r="J7" t="s">
        <v>21</v>
      </c>
    </row>
    <row r="8" spans="1:10" x14ac:dyDescent="0.25">
      <c r="A8">
        <v>1007</v>
      </c>
      <c r="B8">
        <v>45659</v>
      </c>
      <c r="C8" t="s">
        <v>16</v>
      </c>
      <c r="D8" t="s">
        <v>65</v>
      </c>
      <c r="E8" t="s">
        <v>60</v>
      </c>
      <c r="F8" t="s">
        <v>13</v>
      </c>
      <c r="G8">
        <v>3</v>
      </c>
      <c r="H8">
        <v>15000</v>
      </c>
      <c r="I8">
        <v>45000</v>
      </c>
      <c r="J8" t="s">
        <v>21</v>
      </c>
    </row>
    <row r="9" spans="1:10" x14ac:dyDescent="0.25">
      <c r="A9">
        <v>1008</v>
      </c>
      <c r="B9">
        <v>45715</v>
      </c>
      <c r="C9" t="s">
        <v>27</v>
      </c>
      <c r="D9" t="s">
        <v>61</v>
      </c>
      <c r="E9" t="s">
        <v>66</v>
      </c>
      <c r="F9" t="s">
        <v>67</v>
      </c>
      <c r="G9">
        <v>2</v>
      </c>
      <c r="H9">
        <v>35000</v>
      </c>
      <c r="I9">
        <v>70000</v>
      </c>
      <c r="J9" t="s">
        <v>15</v>
      </c>
    </row>
    <row r="10" spans="1:10" x14ac:dyDescent="0.25">
      <c r="A10">
        <v>1009</v>
      </c>
      <c r="B10">
        <v>45731</v>
      </c>
      <c r="C10" t="s">
        <v>27</v>
      </c>
      <c r="D10" t="s">
        <v>65</v>
      </c>
      <c r="E10" t="s">
        <v>68</v>
      </c>
      <c r="F10" t="s">
        <v>67</v>
      </c>
      <c r="G10">
        <v>7</v>
      </c>
      <c r="H10">
        <v>45000</v>
      </c>
      <c r="I10">
        <v>315000</v>
      </c>
      <c r="J10" t="s">
        <v>15</v>
      </c>
    </row>
    <row r="11" spans="1:10" x14ac:dyDescent="0.25">
      <c r="A11">
        <v>1010</v>
      </c>
      <c r="B11">
        <v>45795</v>
      </c>
      <c r="C11" t="s">
        <v>27</v>
      </c>
      <c r="D11" t="s">
        <v>61</v>
      </c>
      <c r="E11" t="s">
        <v>66</v>
      </c>
      <c r="F11" t="s">
        <v>67</v>
      </c>
      <c r="G11">
        <v>3</v>
      </c>
      <c r="H11">
        <v>35000</v>
      </c>
      <c r="I11">
        <v>105000</v>
      </c>
      <c r="J11" t="s">
        <v>15</v>
      </c>
    </row>
    <row r="12" spans="1:10" x14ac:dyDescent="0.25">
      <c r="A12">
        <v>1011</v>
      </c>
      <c r="B12">
        <v>45743</v>
      </c>
      <c r="C12" t="s">
        <v>27</v>
      </c>
      <c r="D12" t="s">
        <v>64</v>
      </c>
      <c r="E12" t="s">
        <v>25</v>
      </c>
      <c r="F12" t="s">
        <v>13</v>
      </c>
      <c r="G12">
        <v>10</v>
      </c>
      <c r="H12">
        <v>55000</v>
      </c>
      <c r="I12">
        <v>550000</v>
      </c>
      <c r="J12" t="s">
        <v>62</v>
      </c>
    </row>
    <row r="13" spans="1:10" x14ac:dyDescent="0.25">
      <c r="A13">
        <v>1012</v>
      </c>
      <c r="B13">
        <v>45680</v>
      </c>
      <c r="C13" t="s">
        <v>22</v>
      </c>
      <c r="D13" t="s">
        <v>61</v>
      </c>
      <c r="E13" t="s">
        <v>25</v>
      </c>
      <c r="F13" t="s">
        <v>13</v>
      </c>
      <c r="G13">
        <v>1</v>
      </c>
      <c r="H13">
        <v>55000</v>
      </c>
      <c r="I13">
        <v>55000</v>
      </c>
      <c r="J13" t="s">
        <v>62</v>
      </c>
    </row>
    <row r="14" spans="1:10" x14ac:dyDescent="0.25">
      <c r="A14">
        <v>1013</v>
      </c>
      <c r="B14">
        <v>45695</v>
      </c>
      <c r="C14" t="s">
        <v>22</v>
      </c>
      <c r="D14" t="s">
        <v>64</v>
      </c>
      <c r="E14" t="s">
        <v>14</v>
      </c>
      <c r="F14" t="s">
        <v>13</v>
      </c>
      <c r="G14">
        <v>1</v>
      </c>
      <c r="H14">
        <v>20000</v>
      </c>
      <c r="I14">
        <v>20000</v>
      </c>
      <c r="J14" t="s">
        <v>15</v>
      </c>
    </row>
    <row r="15" spans="1:10" x14ac:dyDescent="0.25">
      <c r="A15">
        <v>1014</v>
      </c>
      <c r="B15">
        <v>45805</v>
      </c>
      <c r="C15" t="s">
        <v>22</v>
      </c>
      <c r="D15" t="s">
        <v>64</v>
      </c>
      <c r="E15" t="s">
        <v>60</v>
      </c>
      <c r="F15" t="s">
        <v>13</v>
      </c>
      <c r="G15">
        <v>7</v>
      </c>
      <c r="H15">
        <v>15000</v>
      </c>
      <c r="I15">
        <v>105000</v>
      </c>
      <c r="J15" t="s">
        <v>15</v>
      </c>
    </row>
    <row r="16" spans="1:10" x14ac:dyDescent="0.25">
      <c r="A16">
        <v>1015</v>
      </c>
      <c r="B16">
        <v>45699</v>
      </c>
      <c r="C16" t="s">
        <v>27</v>
      </c>
      <c r="D16" t="s">
        <v>12</v>
      </c>
      <c r="E16" t="s">
        <v>66</v>
      </c>
      <c r="F16" t="s">
        <v>67</v>
      </c>
      <c r="G16">
        <v>7</v>
      </c>
      <c r="H16">
        <v>35000</v>
      </c>
      <c r="I16">
        <v>245000</v>
      </c>
      <c r="J16" t="s">
        <v>62</v>
      </c>
    </row>
    <row r="17" spans="1:10" x14ac:dyDescent="0.25">
      <c r="A17">
        <v>1016</v>
      </c>
      <c r="B17">
        <v>45806</v>
      </c>
      <c r="C17" t="s">
        <v>16</v>
      </c>
      <c r="D17" t="s">
        <v>65</v>
      </c>
      <c r="E17" t="s">
        <v>69</v>
      </c>
      <c r="F17" t="s">
        <v>67</v>
      </c>
      <c r="G17">
        <v>1</v>
      </c>
      <c r="H17">
        <v>12000</v>
      </c>
      <c r="I17">
        <v>12000</v>
      </c>
      <c r="J17" t="s">
        <v>15</v>
      </c>
    </row>
    <row r="18" spans="1:10" x14ac:dyDescent="0.25">
      <c r="A18">
        <v>1017</v>
      </c>
      <c r="B18">
        <v>45745</v>
      </c>
      <c r="C18" t="s">
        <v>16</v>
      </c>
      <c r="D18" t="s">
        <v>64</v>
      </c>
      <c r="E18" t="s">
        <v>69</v>
      </c>
      <c r="F18" t="s">
        <v>67</v>
      </c>
      <c r="G18">
        <v>5</v>
      </c>
      <c r="H18">
        <v>12000</v>
      </c>
      <c r="I18">
        <v>60000</v>
      </c>
      <c r="J18" t="s">
        <v>62</v>
      </c>
    </row>
    <row r="19" spans="1:10" x14ac:dyDescent="0.25">
      <c r="A19">
        <v>1018</v>
      </c>
      <c r="B19">
        <v>45766</v>
      </c>
      <c r="C19" t="s">
        <v>22</v>
      </c>
      <c r="D19" t="s">
        <v>65</v>
      </c>
      <c r="E19" t="s">
        <v>14</v>
      </c>
      <c r="F19" t="s">
        <v>13</v>
      </c>
      <c r="G19">
        <v>4</v>
      </c>
      <c r="H19">
        <v>20000</v>
      </c>
      <c r="I19">
        <v>80000</v>
      </c>
      <c r="J19" t="s">
        <v>21</v>
      </c>
    </row>
    <row r="20" spans="1:10" x14ac:dyDescent="0.25">
      <c r="A20">
        <v>1019</v>
      </c>
      <c r="B20">
        <v>45819</v>
      </c>
      <c r="C20" t="s">
        <v>10</v>
      </c>
      <c r="D20" t="s">
        <v>12</v>
      </c>
      <c r="E20" t="s">
        <v>40</v>
      </c>
      <c r="F20" t="s">
        <v>30</v>
      </c>
      <c r="G20">
        <v>6</v>
      </c>
      <c r="H20">
        <v>30000</v>
      </c>
      <c r="I20">
        <v>180000</v>
      </c>
      <c r="J20" t="s">
        <v>21</v>
      </c>
    </row>
    <row r="21" spans="1:10" x14ac:dyDescent="0.25">
      <c r="A21">
        <v>1020</v>
      </c>
      <c r="B21">
        <v>45727</v>
      </c>
      <c r="C21" t="s">
        <v>27</v>
      </c>
      <c r="D21" t="s">
        <v>64</v>
      </c>
      <c r="E21" t="s">
        <v>69</v>
      </c>
      <c r="F21" t="s">
        <v>67</v>
      </c>
      <c r="G21">
        <v>1</v>
      </c>
      <c r="H21">
        <v>12000</v>
      </c>
      <c r="I21">
        <v>12000</v>
      </c>
      <c r="J21" t="s">
        <v>21</v>
      </c>
    </row>
    <row r="22" spans="1:10" x14ac:dyDescent="0.25">
      <c r="A22">
        <v>1021</v>
      </c>
      <c r="B22">
        <v>45837</v>
      </c>
      <c r="C22" t="s">
        <v>16</v>
      </c>
      <c r="D22" t="s">
        <v>59</v>
      </c>
      <c r="E22" t="s">
        <v>36</v>
      </c>
      <c r="F22" t="s">
        <v>30</v>
      </c>
      <c r="G22">
        <v>2</v>
      </c>
      <c r="H22">
        <v>7000</v>
      </c>
      <c r="I22">
        <v>14000</v>
      </c>
      <c r="J22" t="s">
        <v>21</v>
      </c>
    </row>
    <row r="23" spans="1:10" x14ac:dyDescent="0.25">
      <c r="A23">
        <v>1022</v>
      </c>
      <c r="B23">
        <v>45774</v>
      </c>
      <c r="C23" t="s">
        <v>22</v>
      </c>
      <c r="D23" t="s">
        <v>61</v>
      </c>
      <c r="E23" t="s">
        <v>36</v>
      </c>
      <c r="F23" t="s">
        <v>30</v>
      </c>
      <c r="G23">
        <v>2</v>
      </c>
      <c r="H23">
        <v>7000</v>
      </c>
      <c r="I23">
        <v>14000</v>
      </c>
      <c r="J23" t="s">
        <v>21</v>
      </c>
    </row>
    <row r="24" spans="1:10" x14ac:dyDescent="0.25">
      <c r="A24">
        <v>1023</v>
      </c>
      <c r="B24">
        <v>45759</v>
      </c>
      <c r="C24" t="s">
        <v>10</v>
      </c>
      <c r="D24" t="s">
        <v>64</v>
      </c>
      <c r="E24" t="s">
        <v>68</v>
      </c>
      <c r="F24" t="s">
        <v>67</v>
      </c>
      <c r="G24">
        <v>1</v>
      </c>
      <c r="H24">
        <v>45000</v>
      </c>
      <c r="I24">
        <v>45000</v>
      </c>
      <c r="J24" t="s">
        <v>15</v>
      </c>
    </row>
    <row r="25" spans="1:10" x14ac:dyDescent="0.25">
      <c r="A25">
        <v>1024</v>
      </c>
      <c r="B25">
        <v>45751</v>
      </c>
      <c r="C25" t="s">
        <v>10</v>
      </c>
      <c r="D25" t="s">
        <v>29</v>
      </c>
      <c r="E25" t="s">
        <v>60</v>
      </c>
      <c r="F25" t="s">
        <v>13</v>
      </c>
      <c r="G25">
        <v>1</v>
      </c>
      <c r="H25">
        <v>15000</v>
      </c>
      <c r="I25">
        <v>15000</v>
      </c>
      <c r="J25" t="s">
        <v>21</v>
      </c>
    </row>
    <row r="26" spans="1:10" x14ac:dyDescent="0.25">
      <c r="A26">
        <v>1025</v>
      </c>
      <c r="B26">
        <v>45793</v>
      </c>
      <c r="C26" t="s">
        <v>10</v>
      </c>
      <c r="D26" t="s">
        <v>59</v>
      </c>
      <c r="E26" t="s">
        <v>31</v>
      </c>
      <c r="F26" t="s">
        <v>30</v>
      </c>
      <c r="G26">
        <v>3</v>
      </c>
      <c r="H26">
        <v>2500</v>
      </c>
      <c r="I26">
        <v>7500</v>
      </c>
      <c r="J26" t="s">
        <v>62</v>
      </c>
    </row>
    <row r="27" spans="1:10" x14ac:dyDescent="0.25">
      <c r="A27">
        <v>1026</v>
      </c>
      <c r="B27">
        <v>45815</v>
      </c>
      <c r="C27" t="s">
        <v>16</v>
      </c>
      <c r="D27" t="s">
        <v>12</v>
      </c>
      <c r="E27" t="s">
        <v>60</v>
      </c>
      <c r="F27" t="s">
        <v>13</v>
      </c>
      <c r="G27">
        <v>1</v>
      </c>
      <c r="H27">
        <v>15000</v>
      </c>
      <c r="I27">
        <v>15000</v>
      </c>
      <c r="J27" t="s">
        <v>62</v>
      </c>
    </row>
    <row r="28" spans="1:10" x14ac:dyDescent="0.25">
      <c r="A28">
        <v>1027</v>
      </c>
      <c r="B28">
        <v>45833</v>
      </c>
      <c r="C28" t="s">
        <v>27</v>
      </c>
      <c r="D28" t="s">
        <v>12</v>
      </c>
      <c r="E28" t="s">
        <v>63</v>
      </c>
      <c r="F28" t="s">
        <v>13</v>
      </c>
      <c r="G28">
        <v>3</v>
      </c>
      <c r="H28">
        <v>1500</v>
      </c>
      <c r="I28">
        <v>4500</v>
      </c>
      <c r="J28" t="s">
        <v>62</v>
      </c>
    </row>
    <row r="29" spans="1:10" x14ac:dyDescent="0.25">
      <c r="A29">
        <v>1028</v>
      </c>
      <c r="B29">
        <v>45832</v>
      </c>
      <c r="C29" t="s">
        <v>16</v>
      </c>
      <c r="D29" t="s">
        <v>65</v>
      </c>
      <c r="E29" t="s">
        <v>25</v>
      </c>
      <c r="F29" t="s">
        <v>13</v>
      </c>
      <c r="G29">
        <v>6</v>
      </c>
      <c r="H29">
        <v>55000</v>
      </c>
      <c r="I29">
        <v>330000</v>
      </c>
      <c r="J29" t="s">
        <v>62</v>
      </c>
    </row>
    <row r="30" spans="1:10" x14ac:dyDescent="0.25">
      <c r="A30">
        <v>1029</v>
      </c>
      <c r="B30">
        <v>45816</v>
      </c>
      <c r="C30" t="s">
        <v>10</v>
      </c>
      <c r="D30" t="s">
        <v>59</v>
      </c>
      <c r="E30" t="s">
        <v>14</v>
      </c>
      <c r="F30" t="s">
        <v>13</v>
      </c>
      <c r="G30">
        <v>8</v>
      </c>
      <c r="H30">
        <v>20000</v>
      </c>
      <c r="I30">
        <v>160000</v>
      </c>
      <c r="J30" t="s">
        <v>62</v>
      </c>
    </row>
    <row r="31" spans="1:10" x14ac:dyDescent="0.25">
      <c r="A31">
        <v>1030</v>
      </c>
      <c r="B31">
        <v>45717</v>
      </c>
      <c r="C31" t="s">
        <v>22</v>
      </c>
      <c r="D31" t="s">
        <v>12</v>
      </c>
      <c r="E31" t="s">
        <v>68</v>
      </c>
      <c r="F31" t="s">
        <v>67</v>
      </c>
      <c r="G31">
        <v>4</v>
      </c>
      <c r="H31">
        <v>45000</v>
      </c>
      <c r="I31">
        <v>180000</v>
      </c>
      <c r="J31" t="s">
        <v>15</v>
      </c>
    </row>
    <row r="32" spans="1:10" x14ac:dyDescent="0.25">
      <c r="A32">
        <v>1031</v>
      </c>
      <c r="B32">
        <v>45798</v>
      </c>
      <c r="C32" t="s">
        <v>10</v>
      </c>
      <c r="D32" t="s">
        <v>65</v>
      </c>
      <c r="E32" t="s">
        <v>60</v>
      </c>
      <c r="F32" t="s">
        <v>13</v>
      </c>
      <c r="G32">
        <v>5</v>
      </c>
      <c r="H32">
        <v>15000</v>
      </c>
      <c r="I32">
        <v>75000</v>
      </c>
      <c r="J32" t="s">
        <v>62</v>
      </c>
    </row>
    <row r="33" spans="1:10" x14ac:dyDescent="0.25">
      <c r="A33">
        <v>1032</v>
      </c>
      <c r="B33">
        <v>45664</v>
      </c>
      <c r="C33" t="s">
        <v>16</v>
      </c>
      <c r="D33" t="s">
        <v>12</v>
      </c>
      <c r="E33" t="s">
        <v>60</v>
      </c>
      <c r="F33" t="s">
        <v>13</v>
      </c>
      <c r="G33">
        <v>4</v>
      </c>
      <c r="H33">
        <v>15000</v>
      </c>
      <c r="I33">
        <v>60000</v>
      </c>
      <c r="J33" t="s">
        <v>21</v>
      </c>
    </row>
    <row r="34" spans="1:10" x14ac:dyDescent="0.25">
      <c r="A34">
        <v>1033</v>
      </c>
      <c r="B34">
        <v>45812</v>
      </c>
      <c r="C34" t="s">
        <v>16</v>
      </c>
      <c r="D34" t="s">
        <v>65</v>
      </c>
      <c r="E34" t="s">
        <v>69</v>
      </c>
      <c r="F34" t="s">
        <v>67</v>
      </c>
      <c r="G34">
        <v>4</v>
      </c>
      <c r="H34">
        <v>12000</v>
      </c>
      <c r="I34">
        <v>48000</v>
      </c>
      <c r="J34" t="s">
        <v>62</v>
      </c>
    </row>
    <row r="35" spans="1:10" x14ac:dyDescent="0.25">
      <c r="A35">
        <v>1034</v>
      </c>
      <c r="B35">
        <v>45835</v>
      </c>
      <c r="C35" t="s">
        <v>27</v>
      </c>
      <c r="D35" t="s">
        <v>65</v>
      </c>
      <c r="E35" t="s">
        <v>31</v>
      </c>
      <c r="F35" t="s">
        <v>30</v>
      </c>
      <c r="G35">
        <v>4</v>
      </c>
      <c r="H35">
        <v>2500</v>
      </c>
      <c r="I35">
        <v>10000</v>
      </c>
      <c r="J35" t="s">
        <v>62</v>
      </c>
    </row>
    <row r="36" spans="1:10" x14ac:dyDescent="0.25">
      <c r="A36">
        <v>1035</v>
      </c>
      <c r="B36">
        <v>45749</v>
      </c>
      <c r="C36" t="s">
        <v>16</v>
      </c>
      <c r="D36" t="s">
        <v>64</v>
      </c>
      <c r="E36" t="s">
        <v>25</v>
      </c>
      <c r="F36" t="s">
        <v>13</v>
      </c>
      <c r="G36">
        <v>9</v>
      </c>
      <c r="H36">
        <v>55000</v>
      </c>
      <c r="I36">
        <v>495000</v>
      </c>
      <c r="J36" t="s">
        <v>21</v>
      </c>
    </row>
    <row r="37" spans="1:10" x14ac:dyDescent="0.25">
      <c r="A37">
        <v>1036</v>
      </c>
      <c r="B37">
        <v>45761</v>
      </c>
      <c r="C37" t="s">
        <v>10</v>
      </c>
      <c r="D37" t="s">
        <v>59</v>
      </c>
      <c r="E37" t="s">
        <v>69</v>
      </c>
      <c r="F37" t="s">
        <v>67</v>
      </c>
      <c r="G37">
        <v>9</v>
      </c>
      <c r="H37">
        <v>12000</v>
      </c>
      <c r="I37">
        <v>108000</v>
      </c>
      <c r="J37" t="s">
        <v>15</v>
      </c>
    </row>
    <row r="38" spans="1:10" x14ac:dyDescent="0.25">
      <c r="A38">
        <v>1037</v>
      </c>
      <c r="B38">
        <v>45813</v>
      </c>
      <c r="C38" t="s">
        <v>22</v>
      </c>
      <c r="D38" t="s">
        <v>65</v>
      </c>
      <c r="E38" t="s">
        <v>66</v>
      </c>
      <c r="F38" t="s">
        <v>67</v>
      </c>
      <c r="G38">
        <v>9</v>
      </c>
      <c r="H38">
        <v>35000</v>
      </c>
      <c r="I38">
        <v>315000</v>
      </c>
      <c r="J38" t="s">
        <v>21</v>
      </c>
    </row>
    <row r="39" spans="1:10" x14ac:dyDescent="0.25">
      <c r="A39">
        <v>1038</v>
      </c>
      <c r="B39">
        <v>45729</v>
      </c>
      <c r="C39" t="s">
        <v>27</v>
      </c>
      <c r="D39" t="s">
        <v>61</v>
      </c>
      <c r="E39" t="s">
        <v>31</v>
      </c>
      <c r="F39" t="s">
        <v>30</v>
      </c>
      <c r="G39">
        <v>3</v>
      </c>
      <c r="H39">
        <v>2500</v>
      </c>
      <c r="I39">
        <v>7500</v>
      </c>
      <c r="J39" t="s">
        <v>15</v>
      </c>
    </row>
    <row r="40" spans="1:10" x14ac:dyDescent="0.25">
      <c r="A40">
        <v>1039</v>
      </c>
      <c r="B40">
        <v>45810</v>
      </c>
      <c r="C40" t="s">
        <v>22</v>
      </c>
      <c r="D40" t="s">
        <v>12</v>
      </c>
      <c r="E40" t="s">
        <v>60</v>
      </c>
      <c r="F40" t="s">
        <v>13</v>
      </c>
      <c r="G40">
        <v>5</v>
      </c>
      <c r="H40">
        <v>15000</v>
      </c>
      <c r="I40">
        <v>75000</v>
      </c>
      <c r="J40" t="s">
        <v>15</v>
      </c>
    </row>
    <row r="41" spans="1:10" x14ac:dyDescent="0.25">
      <c r="A41">
        <v>1040</v>
      </c>
      <c r="B41">
        <v>45782</v>
      </c>
      <c r="C41" t="s">
        <v>27</v>
      </c>
      <c r="D41" t="s">
        <v>59</v>
      </c>
      <c r="E41" t="s">
        <v>60</v>
      </c>
      <c r="F41" t="s">
        <v>13</v>
      </c>
      <c r="G41">
        <v>9</v>
      </c>
      <c r="H41">
        <v>15000</v>
      </c>
      <c r="I41">
        <v>135000</v>
      </c>
      <c r="J41" t="s">
        <v>21</v>
      </c>
    </row>
    <row r="42" spans="1:10" x14ac:dyDescent="0.25">
      <c r="A42">
        <v>1041</v>
      </c>
      <c r="B42">
        <v>45714</v>
      </c>
      <c r="C42" t="s">
        <v>22</v>
      </c>
      <c r="D42" t="s">
        <v>64</v>
      </c>
      <c r="E42" t="s">
        <v>63</v>
      </c>
      <c r="F42" t="s">
        <v>13</v>
      </c>
      <c r="G42">
        <v>4</v>
      </c>
      <c r="H42">
        <v>1500</v>
      </c>
      <c r="I42">
        <v>6000</v>
      </c>
      <c r="J42" t="s">
        <v>62</v>
      </c>
    </row>
    <row r="43" spans="1:10" x14ac:dyDescent="0.25">
      <c r="A43">
        <v>1042</v>
      </c>
      <c r="B43">
        <v>45764</v>
      </c>
      <c r="C43" t="s">
        <v>10</v>
      </c>
      <c r="D43" t="s">
        <v>12</v>
      </c>
      <c r="E43" t="s">
        <v>36</v>
      </c>
      <c r="F43" t="s">
        <v>30</v>
      </c>
      <c r="G43">
        <v>9</v>
      </c>
      <c r="H43">
        <v>7000</v>
      </c>
      <c r="I43">
        <v>63000</v>
      </c>
      <c r="J43" t="s">
        <v>62</v>
      </c>
    </row>
    <row r="44" spans="1:10" x14ac:dyDescent="0.25">
      <c r="A44">
        <v>1043</v>
      </c>
      <c r="B44">
        <v>45707</v>
      </c>
      <c r="C44" t="s">
        <v>10</v>
      </c>
      <c r="D44" t="s">
        <v>61</v>
      </c>
      <c r="E44" t="s">
        <v>40</v>
      </c>
      <c r="F44" t="s">
        <v>30</v>
      </c>
      <c r="G44">
        <v>5</v>
      </c>
      <c r="H44">
        <v>30000</v>
      </c>
      <c r="I44">
        <v>150000</v>
      </c>
      <c r="J44" t="s">
        <v>21</v>
      </c>
    </row>
    <row r="45" spans="1:10" x14ac:dyDescent="0.25">
      <c r="A45">
        <v>1044</v>
      </c>
      <c r="B45">
        <v>45663</v>
      </c>
      <c r="C45" t="s">
        <v>10</v>
      </c>
      <c r="D45" t="s">
        <v>59</v>
      </c>
      <c r="E45" t="s">
        <v>68</v>
      </c>
      <c r="F45" t="s">
        <v>67</v>
      </c>
      <c r="G45">
        <v>4</v>
      </c>
      <c r="H45">
        <v>45000</v>
      </c>
      <c r="I45">
        <v>180000</v>
      </c>
      <c r="J45" t="s">
        <v>62</v>
      </c>
    </row>
    <row r="46" spans="1:10" x14ac:dyDescent="0.25">
      <c r="A46">
        <v>1045</v>
      </c>
      <c r="B46">
        <v>45809</v>
      </c>
      <c r="C46" t="s">
        <v>27</v>
      </c>
      <c r="D46" t="s">
        <v>29</v>
      </c>
      <c r="E46" t="s">
        <v>25</v>
      </c>
      <c r="F46" t="s">
        <v>13</v>
      </c>
      <c r="G46">
        <v>5</v>
      </c>
      <c r="H46">
        <v>55000</v>
      </c>
      <c r="I46">
        <v>275000</v>
      </c>
      <c r="J46" t="s">
        <v>15</v>
      </c>
    </row>
    <row r="47" spans="1:10" x14ac:dyDescent="0.25">
      <c r="A47">
        <v>1046</v>
      </c>
      <c r="B47">
        <v>45728</v>
      </c>
      <c r="C47" t="s">
        <v>27</v>
      </c>
      <c r="D47" t="s">
        <v>29</v>
      </c>
      <c r="E47" t="s">
        <v>66</v>
      </c>
      <c r="F47" t="s">
        <v>67</v>
      </c>
      <c r="G47">
        <v>2</v>
      </c>
      <c r="H47">
        <v>35000</v>
      </c>
      <c r="I47">
        <v>70000</v>
      </c>
      <c r="J47" t="s">
        <v>62</v>
      </c>
    </row>
    <row r="48" spans="1:10" x14ac:dyDescent="0.25">
      <c r="A48">
        <v>1047</v>
      </c>
      <c r="B48">
        <v>45724</v>
      </c>
      <c r="C48" t="s">
        <v>22</v>
      </c>
      <c r="D48" t="s">
        <v>61</v>
      </c>
      <c r="E48" t="s">
        <v>14</v>
      </c>
      <c r="F48" t="s">
        <v>13</v>
      </c>
      <c r="G48">
        <v>5</v>
      </c>
      <c r="H48">
        <v>20000</v>
      </c>
      <c r="I48">
        <v>100000</v>
      </c>
      <c r="J48" t="s">
        <v>15</v>
      </c>
    </row>
    <row r="49" spans="1:10" x14ac:dyDescent="0.25">
      <c r="A49">
        <v>1048</v>
      </c>
      <c r="B49">
        <v>45792</v>
      </c>
      <c r="C49" t="s">
        <v>16</v>
      </c>
      <c r="D49" t="s">
        <v>61</v>
      </c>
      <c r="E49" t="s">
        <v>66</v>
      </c>
      <c r="F49" t="s">
        <v>67</v>
      </c>
      <c r="G49">
        <v>6</v>
      </c>
      <c r="H49">
        <v>35000</v>
      </c>
      <c r="I49">
        <v>210000</v>
      </c>
      <c r="J49" t="s">
        <v>15</v>
      </c>
    </row>
    <row r="50" spans="1:10" x14ac:dyDescent="0.25">
      <c r="A50">
        <v>1049</v>
      </c>
      <c r="B50">
        <v>45807</v>
      </c>
      <c r="C50" t="s">
        <v>10</v>
      </c>
      <c r="D50" t="s">
        <v>64</v>
      </c>
      <c r="E50" t="s">
        <v>31</v>
      </c>
      <c r="F50" t="s">
        <v>30</v>
      </c>
      <c r="G50">
        <v>8</v>
      </c>
      <c r="H50">
        <v>2500</v>
      </c>
      <c r="I50">
        <v>20000</v>
      </c>
      <c r="J50" t="s">
        <v>15</v>
      </c>
    </row>
    <row r="51" spans="1:10" x14ac:dyDescent="0.25">
      <c r="A51">
        <v>1050</v>
      </c>
      <c r="B51">
        <v>45789</v>
      </c>
      <c r="C51" t="s">
        <v>16</v>
      </c>
      <c r="D51" t="s">
        <v>65</v>
      </c>
      <c r="E51" t="s">
        <v>66</v>
      </c>
      <c r="F51" t="s">
        <v>67</v>
      </c>
      <c r="G51">
        <v>2</v>
      </c>
      <c r="H51">
        <v>35000</v>
      </c>
      <c r="I51">
        <v>70000</v>
      </c>
      <c r="J51" t="s">
        <v>21</v>
      </c>
    </row>
    <row r="52" spans="1:10" x14ac:dyDescent="0.25">
      <c r="A52">
        <v>1051</v>
      </c>
      <c r="B52">
        <v>45821</v>
      </c>
      <c r="C52" t="s">
        <v>16</v>
      </c>
      <c r="D52" t="s">
        <v>12</v>
      </c>
      <c r="E52" t="s">
        <v>14</v>
      </c>
      <c r="F52" t="s">
        <v>13</v>
      </c>
      <c r="G52">
        <v>4</v>
      </c>
      <c r="H52">
        <v>20000</v>
      </c>
      <c r="I52">
        <v>80000</v>
      </c>
      <c r="J52" t="s">
        <v>21</v>
      </c>
    </row>
    <row r="53" spans="1:10" x14ac:dyDescent="0.25">
      <c r="A53">
        <v>1052</v>
      </c>
      <c r="B53">
        <v>45773</v>
      </c>
      <c r="C53" t="s">
        <v>16</v>
      </c>
      <c r="D53" t="s">
        <v>59</v>
      </c>
      <c r="E53" t="s">
        <v>60</v>
      </c>
      <c r="F53" t="s">
        <v>13</v>
      </c>
      <c r="G53">
        <v>9</v>
      </c>
      <c r="H53">
        <v>15000</v>
      </c>
      <c r="I53">
        <v>135000</v>
      </c>
      <c r="J53" t="s">
        <v>15</v>
      </c>
    </row>
    <row r="54" spans="1:10" x14ac:dyDescent="0.25">
      <c r="A54">
        <v>1053</v>
      </c>
      <c r="B54">
        <v>45688</v>
      </c>
      <c r="C54" t="s">
        <v>27</v>
      </c>
      <c r="D54" t="s">
        <v>59</v>
      </c>
      <c r="E54" t="s">
        <v>25</v>
      </c>
      <c r="F54" t="s">
        <v>13</v>
      </c>
      <c r="G54">
        <v>4</v>
      </c>
      <c r="H54">
        <v>55000</v>
      </c>
      <c r="I54">
        <v>220000</v>
      </c>
      <c r="J54" t="s">
        <v>15</v>
      </c>
    </row>
    <row r="55" spans="1:10" x14ac:dyDescent="0.25">
      <c r="A55">
        <v>1054</v>
      </c>
      <c r="B55">
        <v>45801</v>
      </c>
      <c r="C55" t="s">
        <v>10</v>
      </c>
      <c r="D55" t="s">
        <v>61</v>
      </c>
      <c r="E55" t="s">
        <v>60</v>
      </c>
      <c r="F55" t="s">
        <v>13</v>
      </c>
      <c r="G55">
        <v>8</v>
      </c>
      <c r="H55">
        <v>15000</v>
      </c>
      <c r="I55">
        <v>120000</v>
      </c>
      <c r="J55" t="s">
        <v>62</v>
      </c>
    </row>
    <row r="56" spans="1:10" x14ac:dyDescent="0.25">
      <c r="A56">
        <v>1055</v>
      </c>
      <c r="B56">
        <v>45696</v>
      </c>
      <c r="C56" t="s">
        <v>10</v>
      </c>
      <c r="D56" t="s">
        <v>12</v>
      </c>
      <c r="E56" t="s">
        <v>25</v>
      </c>
      <c r="F56" t="s">
        <v>13</v>
      </c>
      <c r="G56">
        <v>8</v>
      </c>
      <c r="H56">
        <v>55000</v>
      </c>
      <c r="I56">
        <v>440000</v>
      </c>
      <c r="J56" t="s">
        <v>62</v>
      </c>
    </row>
    <row r="57" spans="1:10" x14ac:dyDescent="0.25">
      <c r="A57">
        <v>1056</v>
      </c>
      <c r="B57">
        <v>45748</v>
      </c>
      <c r="C57" t="s">
        <v>22</v>
      </c>
      <c r="D57" t="s">
        <v>29</v>
      </c>
      <c r="E57" t="s">
        <v>60</v>
      </c>
      <c r="F57" t="s">
        <v>13</v>
      </c>
      <c r="G57">
        <v>2</v>
      </c>
      <c r="H57">
        <v>15000</v>
      </c>
      <c r="I57">
        <v>30000</v>
      </c>
      <c r="J57" t="s">
        <v>62</v>
      </c>
    </row>
    <row r="58" spans="1:10" x14ac:dyDescent="0.25">
      <c r="A58">
        <v>1057</v>
      </c>
      <c r="B58">
        <v>45792</v>
      </c>
      <c r="C58" t="s">
        <v>10</v>
      </c>
      <c r="D58" t="s">
        <v>64</v>
      </c>
      <c r="E58" t="s">
        <v>40</v>
      </c>
      <c r="F58" t="s">
        <v>30</v>
      </c>
      <c r="G58">
        <v>1</v>
      </c>
      <c r="H58">
        <v>30000</v>
      </c>
      <c r="I58">
        <v>30000</v>
      </c>
      <c r="J58" t="s">
        <v>15</v>
      </c>
    </row>
    <row r="59" spans="1:10" x14ac:dyDescent="0.25">
      <c r="A59">
        <v>1058</v>
      </c>
      <c r="B59">
        <v>45780</v>
      </c>
      <c r="C59" t="s">
        <v>16</v>
      </c>
      <c r="D59" t="s">
        <v>64</v>
      </c>
      <c r="E59" t="s">
        <v>69</v>
      </c>
      <c r="F59" t="s">
        <v>67</v>
      </c>
      <c r="G59">
        <v>5</v>
      </c>
      <c r="H59">
        <v>12000</v>
      </c>
      <c r="I59">
        <v>60000</v>
      </c>
      <c r="J59" t="s">
        <v>15</v>
      </c>
    </row>
    <row r="60" spans="1:10" x14ac:dyDescent="0.25">
      <c r="A60">
        <v>1059</v>
      </c>
      <c r="B60">
        <v>45662</v>
      </c>
      <c r="C60" t="s">
        <v>10</v>
      </c>
      <c r="D60" t="s">
        <v>61</v>
      </c>
      <c r="E60" t="s">
        <v>68</v>
      </c>
      <c r="F60" t="s">
        <v>67</v>
      </c>
      <c r="G60">
        <v>7</v>
      </c>
      <c r="H60">
        <v>45000</v>
      </c>
      <c r="I60">
        <v>315000</v>
      </c>
      <c r="J60" t="s">
        <v>62</v>
      </c>
    </row>
    <row r="61" spans="1:10" x14ac:dyDescent="0.25">
      <c r="A61">
        <v>1060</v>
      </c>
      <c r="B61">
        <v>45747</v>
      </c>
      <c r="C61" t="s">
        <v>22</v>
      </c>
      <c r="D61" t="s">
        <v>29</v>
      </c>
      <c r="E61" t="s">
        <v>31</v>
      </c>
      <c r="F61" t="s">
        <v>30</v>
      </c>
      <c r="G61">
        <v>9</v>
      </c>
      <c r="H61">
        <v>2500</v>
      </c>
      <c r="I61">
        <v>22500</v>
      </c>
      <c r="J61" t="s">
        <v>62</v>
      </c>
    </row>
    <row r="62" spans="1:10" x14ac:dyDescent="0.25">
      <c r="A62">
        <v>1061</v>
      </c>
      <c r="B62">
        <v>45768</v>
      </c>
      <c r="C62" t="s">
        <v>16</v>
      </c>
      <c r="D62" t="s">
        <v>61</v>
      </c>
      <c r="E62" t="s">
        <v>36</v>
      </c>
      <c r="F62" t="s">
        <v>30</v>
      </c>
      <c r="G62">
        <v>5</v>
      </c>
      <c r="H62">
        <v>7000</v>
      </c>
      <c r="I62">
        <v>35000</v>
      </c>
      <c r="J62" t="s">
        <v>21</v>
      </c>
    </row>
    <row r="63" spans="1:10" x14ac:dyDescent="0.25">
      <c r="A63">
        <v>1062</v>
      </c>
      <c r="B63">
        <v>45799</v>
      </c>
      <c r="C63" t="s">
        <v>27</v>
      </c>
      <c r="D63" t="s">
        <v>64</v>
      </c>
      <c r="E63" t="s">
        <v>25</v>
      </c>
      <c r="F63" t="s">
        <v>13</v>
      </c>
      <c r="G63">
        <v>10</v>
      </c>
      <c r="H63">
        <v>55000</v>
      </c>
      <c r="I63">
        <v>550000</v>
      </c>
      <c r="J63" t="s">
        <v>62</v>
      </c>
    </row>
    <row r="64" spans="1:10" x14ac:dyDescent="0.25">
      <c r="A64">
        <v>1063</v>
      </c>
      <c r="B64">
        <v>45740</v>
      </c>
      <c r="C64" t="s">
        <v>27</v>
      </c>
      <c r="D64" t="s">
        <v>29</v>
      </c>
      <c r="E64" t="s">
        <v>63</v>
      </c>
      <c r="F64" t="s">
        <v>13</v>
      </c>
      <c r="G64">
        <v>7</v>
      </c>
      <c r="H64">
        <v>1500</v>
      </c>
      <c r="I64">
        <v>10500</v>
      </c>
      <c r="J64" t="s">
        <v>62</v>
      </c>
    </row>
    <row r="65" spans="1:10" x14ac:dyDescent="0.25">
      <c r="A65">
        <v>1064</v>
      </c>
      <c r="B65">
        <v>45706</v>
      </c>
      <c r="C65" t="s">
        <v>27</v>
      </c>
      <c r="D65" t="s">
        <v>12</v>
      </c>
      <c r="E65" t="s">
        <v>66</v>
      </c>
      <c r="F65" t="s">
        <v>67</v>
      </c>
      <c r="G65">
        <v>7</v>
      </c>
      <c r="H65">
        <v>35000</v>
      </c>
      <c r="I65">
        <v>245000</v>
      </c>
      <c r="J65" t="s">
        <v>62</v>
      </c>
    </row>
    <row r="66" spans="1:10" x14ac:dyDescent="0.25">
      <c r="A66">
        <v>1065</v>
      </c>
      <c r="B66">
        <v>45730</v>
      </c>
      <c r="C66" t="s">
        <v>10</v>
      </c>
      <c r="D66" t="s">
        <v>64</v>
      </c>
      <c r="E66" t="s">
        <v>25</v>
      </c>
      <c r="F66" t="s">
        <v>13</v>
      </c>
      <c r="G66">
        <v>2</v>
      </c>
      <c r="H66">
        <v>55000</v>
      </c>
      <c r="I66">
        <v>110000</v>
      </c>
      <c r="J66" t="s">
        <v>15</v>
      </c>
    </row>
    <row r="67" spans="1:10" x14ac:dyDescent="0.25">
      <c r="A67">
        <v>1066</v>
      </c>
      <c r="B67">
        <v>45827</v>
      </c>
      <c r="C67" t="s">
        <v>27</v>
      </c>
      <c r="D67" t="s">
        <v>59</v>
      </c>
      <c r="E67" t="s">
        <v>68</v>
      </c>
      <c r="F67" t="s">
        <v>67</v>
      </c>
      <c r="G67">
        <v>7</v>
      </c>
      <c r="H67">
        <v>45000</v>
      </c>
      <c r="I67">
        <v>315000</v>
      </c>
      <c r="J67" t="s">
        <v>21</v>
      </c>
    </row>
    <row r="68" spans="1:10" x14ac:dyDescent="0.25">
      <c r="A68">
        <v>1067</v>
      </c>
      <c r="B68">
        <v>45702</v>
      </c>
      <c r="C68" t="s">
        <v>10</v>
      </c>
      <c r="D68" t="s">
        <v>61</v>
      </c>
      <c r="E68" t="s">
        <v>69</v>
      </c>
      <c r="F68" t="s">
        <v>67</v>
      </c>
      <c r="G68">
        <v>10</v>
      </c>
      <c r="H68">
        <v>12000</v>
      </c>
      <c r="I68">
        <v>120000</v>
      </c>
      <c r="J68" t="s">
        <v>62</v>
      </c>
    </row>
    <row r="69" spans="1:10" x14ac:dyDescent="0.25">
      <c r="A69">
        <v>1068</v>
      </c>
      <c r="B69">
        <v>45678</v>
      </c>
      <c r="C69" t="s">
        <v>22</v>
      </c>
      <c r="D69" t="s">
        <v>65</v>
      </c>
      <c r="E69" t="s">
        <v>31</v>
      </c>
      <c r="F69" t="s">
        <v>30</v>
      </c>
      <c r="G69">
        <v>2</v>
      </c>
      <c r="H69">
        <v>2500</v>
      </c>
      <c r="I69">
        <v>5000</v>
      </c>
      <c r="J69" t="s">
        <v>62</v>
      </c>
    </row>
    <row r="70" spans="1:10" x14ac:dyDescent="0.25">
      <c r="A70">
        <v>1069</v>
      </c>
      <c r="B70">
        <v>45822</v>
      </c>
      <c r="C70" t="s">
        <v>16</v>
      </c>
      <c r="D70" t="s">
        <v>64</v>
      </c>
      <c r="E70" t="s">
        <v>68</v>
      </c>
      <c r="F70" t="s">
        <v>67</v>
      </c>
      <c r="G70">
        <v>3</v>
      </c>
      <c r="H70">
        <v>45000</v>
      </c>
      <c r="I70">
        <v>135000</v>
      </c>
      <c r="J70" t="s">
        <v>21</v>
      </c>
    </row>
    <row r="71" spans="1:10" x14ac:dyDescent="0.25">
      <c r="A71">
        <v>1070</v>
      </c>
      <c r="B71">
        <v>45707</v>
      </c>
      <c r="C71" t="s">
        <v>27</v>
      </c>
      <c r="D71" t="s">
        <v>29</v>
      </c>
      <c r="E71" t="s">
        <v>69</v>
      </c>
      <c r="F71" t="s">
        <v>67</v>
      </c>
      <c r="G71">
        <v>4</v>
      </c>
      <c r="H71">
        <v>12000</v>
      </c>
      <c r="I71">
        <v>48000</v>
      </c>
      <c r="J71" t="s">
        <v>15</v>
      </c>
    </row>
    <row r="72" spans="1:10" x14ac:dyDescent="0.25">
      <c r="A72">
        <v>1071</v>
      </c>
      <c r="B72">
        <v>45814</v>
      </c>
      <c r="C72" t="s">
        <v>22</v>
      </c>
      <c r="D72" t="s">
        <v>12</v>
      </c>
      <c r="E72" t="s">
        <v>63</v>
      </c>
      <c r="F72" t="s">
        <v>13</v>
      </c>
      <c r="G72">
        <v>8</v>
      </c>
      <c r="H72">
        <v>1500</v>
      </c>
      <c r="I72">
        <v>12000</v>
      </c>
      <c r="J72" t="s">
        <v>21</v>
      </c>
    </row>
    <row r="73" spans="1:10" x14ac:dyDescent="0.25">
      <c r="A73">
        <v>1072</v>
      </c>
      <c r="B73">
        <v>45713</v>
      </c>
      <c r="C73" t="s">
        <v>10</v>
      </c>
      <c r="D73" t="s">
        <v>64</v>
      </c>
      <c r="E73" t="s">
        <v>63</v>
      </c>
      <c r="F73" t="s">
        <v>13</v>
      </c>
      <c r="G73">
        <v>10</v>
      </c>
      <c r="H73">
        <v>1500</v>
      </c>
      <c r="I73">
        <v>15000</v>
      </c>
      <c r="J73" t="s">
        <v>62</v>
      </c>
    </row>
    <row r="74" spans="1:10" x14ac:dyDescent="0.25">
      <c r="A74">
        <v>1073</v>
      </c>
      <c r="B74">
        <v>45809</v>
      </c>
      <c r="C74" t="s">
        <v>27</v>
      </c>
      <c r="D74" t="s">
        <v>65</v>
      </c>
      <c r="E74" t="s">
        <v>68</v>
      </c>
      <c r="F74" t="s">
        <v>67</v>
      </c>
      <c r="G74">
        <v>7</v>
      </c>
      <c r="H74">
        <v>45000</v>
      </c>
      <c r="I74">
        <v>315000</v>
      </c>
      <c r="J74" t="s">
        <v>15</v>
      </c>
    </row>
    <row r="75" spans="1:10" x14ac:dyDescent="0.25">
      <c r="A75">
        <v>1074</v>
      </c>
      <c r="B75">
        <v>45735</v>
      </c>
      <c r="C75" t="s">
        <v>10</v>
      </c>
      <c r="D75" t="s">
        <v>29</v>
      </c>
      <c r="E75" t="s">
        <v>68</v>
      </c>
      <c r="F75" t="s">
        <v>67</v>
      </c>
      <c r="G75">
        <v>8</v>
      </c>
      <c r="H75">
        <v>45000</v>
      </c>
      <c r="I75">
        <v>360000</v>
      </c>
      <c r="J75" t="s">
        <v>62</v>
      </c>
    </row>
    <row r="76" spans="1:10" x14ac:dyDescent="0.25">
      <c r="A76">
        <v>1075</v>
      </c>
      <c r="B76">
        <v>45834</v>
      </c>
      <c r="C76" t="s">
        <v>22</v>
      </c>
      <c r="D76" t="s">
        <v>29</v>
      </c>
      <c r="E76" t="s">
        <v>31</v>
      </c>
      <c r="F76" t="s">
        <v>30</v>
      </c>
      <c r="G76">
        <v>10</v>
      </c>
      <c r="H76">
        <v>2500</v>
      </c>
      <c r="I76">
        <v>25000</v>
      </c>
      <c r="J76" t="s">
        <v>62</v>
      </c>
    </row>
    <row r="77" spans="1:10" x14ac:dyDescent="0.25">
      <c r="A77">
        <v>1076</v>
      </c>
      <c r="B77">
        <v>45782</v>
      </c>
      <c r="C77" t="s">
        <v>22</v>
      </c>
      <c r="D77" t="s">
        <v>61</v>
      </c>
      <c r="E77" t="s">
        <v>60</v>
      </c>
      <c r="F77" t="s">
        <v>13</v>
      </c>
      <c r="G77">
        <v>10</v>
      </c>
      <c r="H77">
        <v>15000</v>
      </c>
      <c r="I77">
        <v>150000</v>
      </c>
      <c r="J77" t="s">
        <v>62</v>
      </c>
    </row>
    <row r="78" spans="1:10" x14ac:dyDescent="0.25">
      <c r="A78">
        <v>1077</v>
      </c>
      <c r="B78">
        <v>45750</v>
      </c>
      <c r="C78" t="s">
        <v>27</v>
      </c>
      <c r="D78" t="s">
        <v>65</v>
      </c>
      <c r="E78" t="s">
        <v>40</v>
      </c>
      <c r="F78" t="s">
        <v>30</v>
      </c>
      <c r="G78">
        <v>6</v>
      </c>
      <c r="H78">
        <v>30000</v>
      </c>
      <c r="I78">
        <v>180000</v>
      </c>
      <c r="J78" t="s">
        <v>21</v>
      </c>
    </row>
    <row r="79" spans="1:10" x14ac:dyDescent="0.25">
      <c r="A79">
        <v>1078</v>
      </c>
      <c r="B79">
        <v>45718</v>
      </c>
      <c r="C79" t="s">
        <v>22</v>
      </c>
      <c r="D79" t="s">
        <v>59</v>
      </c>
      <c r="E79" t="s">
        <v>36</v>
      </c>
      <c r="F79" t="s">
        <v>30</v>
      </c>
      <c r="G79">
        <v>3</v>
      </c>
      <c r="H79">
        <v>7000</v>
      </c>
      <c r="I79">
        <v>21000</v>
      </c>
      <c r="J79" t="s">
        <v>21</v>
      </c>
    </row>
    <row r="80" spans="1:10" x14ac:dyDescent="0.25">
      <c r="A80">
        <v>1079</v>
      </c>
      <c r="B80">
        <v>45751</v>
      </c>
      <c r="C80" t="s">
        <v>10</v>
      </c>
      <c r="D80" t="s">
        <v>65</v>
      </c>
      <c r="E80" t="s">
        <v>68</v>
      </c>
      <c r="F80" t="s">
        <v>67</v>
      </c>
      <c r="G80">
        <v>9</v>
      </c>
      <c r="H80">
        <v>45000</v>
      </c>
      <c r="I80">
        <v>405000</v>
      </c>
      <c r="J80" t="s">
        <v>62</v>
      </c>
    </row>
    <row r="81" spans="1:10" x14ac:dyDescent="0.25">
      <c r="A81">
        <v>1080</v>
      </c>
      <c r="B81">
        <v>45834</v>
      </c>
      <c r="C81" t="s">
        <v>16</v>
      </c>
      <c r="D81" t="s">
        <v>61</v>
      </c>
      <c r="E81" t="s">
        <v>25</v>
      </c>
      <c r="F81" t="s">
        <v>13</v>
      </c>
      <c r="G81">
        <v>3</v>
      </c>
      <c r="H81">
        <v>55000</v>
      </c>
      <c r="I81">
        <v>165000</v>
      </c>
      <c r="J81" t="s">
        <v>62</v>
      </c>
    </row>
    <row r="82" spans="1:10" x14ac:dyDescent="0.25">
      <c r="A82">
        <v>1081</v>
      </c>
      <c r="B82">
        <v>45702</v>
      </c>
      <c r="C82" t="s">
        <v>10</v>
      </c>
      <c r="D82" t="s">
        <v>29</v>
      </c>
      <c r="E82" t="s">
        <v>60</v>
      </c>
      <c r="F82" t="s">
        <v>13</v>
      </c>
      <c r="G82">
        <v>9</v>
      </c>
      <c r="H82">
        <v>15000</v>
      </c>
      <c r="I82">
        <v>135000</v>
      </c>
      <c r="J82" t="s">
        <v>15</v>
      </c>
    </row>
    <row r="83" spans="1:10" x14ac:dyDescent="0.25">
      <c r="A83">
        <v>1082</v>
      </c>
      <c r="B83">
        <v>45738</v>
      </c>
      <c r="C83" t="s">
        <v>10</v>
      </c>
      <c r="D83" t="s">
        <v>61</v>
      </c>
      <c r="E83" t="s">
        <v>25</v>
      </c>
      <c r="F83" t="s">
        <v>13</v>
      </c>
      <c r="G83">
        <v>4</v>
      </c>
      <c r="H83">
        <v>55000</v>
      </c>
      <c r="I83">
        <v>220000</v>
      </c>
      <c r="J83" t="s">
        <v>62</v>
      </c>
    </row>
    <row r="84" spans="1:10" x14ac:dyDescent="0.25">
      <c r="A84">
        <v>1083</v>
      </c>
      <c r="B84">
        <v>45829</v>
      </c>
      <c r="C84" t="s">
        <v>22</v>
      </c>
      <c r="D84" t="s">
        <v>64</v>
      </c>
      <c r="E84" t="s">
        <v>60</v>
      </c>
      <c r="F84" t="s">
        <v>13</v>
      </c>
      <c r="G84">
        <v>4</v>
      </c>
      <c r="H84">
        <v>15000</v>
      </c>
      <c r="I84">
        <v>60000</v>
      </c>
      <c r="J84" t="s">
        <v>21</v>
      </c>
    </row>
    <row r="85" spans="1:10" x14ac:dyDescent="0.25">
      <c r="A85">
        <v>1084</v>
      </c>
      <c r="B85">
        <v>45810</v>
      </c>
      <c r="C85" t="s">
        <v>22</v>
      </c>
      <c r="D85" t="s">
        <v>29</v>
      </c>
      <c r="E85" t="s">
        <v>36</v>
      </c>
      <c r="F85" t="s">
        <v>30</v>
      </c>
      <c r="G85">
        <v>7</v>
      </c>
      <c r="H85">
        <v>7000</v>
      </c>
      <c r="I85">
        <v>49000</v>
      </c>
      <c r="J85" t="s">
        <v>15</v>
      </c>
    </row>
    <row r="86" spans="1:10" x14ac:dyDescent="0.25">
      <c r="A86">
        <v>1085</v>
      </c>
      <c r="B86">
        <v>45680</v>
      </c>
      <c r="C86" t="s">
        <v>10</v>
      </c>
      <c r="D86" t="s">
        <v>29</v>
      </c>
      <c r="E86" t="s">
        <v>69</v>
      </c>
      <c r="F86" t="s">
        <v>67</v>
      </c>
      <c r="G86">
        <v>6</v>
      </c>
      <c r="H86">
        <v>12000</v>
      </c>
      <c r="I86">
        <v>72000</v>
      </c>
      <c r="J86" t="s">
        <v>21</v>
      </c>
    </row>
    <row r="87" spans="1:10" x14ac:dyDescent="0.25">
      <c r="A87">
        <v>1086</v>
      </c>
      <c r="B87">
        <v>45695</v>
      </c>
      <c r="C87" t="s">
        <v>16</v>
      </c>
      <c r="D87" t="s">
        <v>64</v>
      </c>
      <c r="E87" t="s">
        <v>66</v>
      </c>
      <c r="F87" t="s">
        <v>67</v>
      </c>
      <c r="G87">
        <v>9</v>
      </c>
      <c r="H87">
        <v>35000</v>
      </c>
      <c r="I87">
        <v>315000</v>
      </c>
      <c r="J87" t="s">
        <v>62</v>
      </c>
    </row>
    <row r="88" spans="1:10" x14ac:dyDescent="0.25">
      <c r="A88">
        <v>1087</v>
      </c>
      <c r="B88">
        <v>45673</v>
      </c>
      <c r="C88" t="s">
        <v>16</v>
      </c>
      <c r="D88" t="s">
        <v>61</v>
      </c>
      <c r="E88" t="s">
        <v>68</v>
      </c>
      <c r="F88" t="s">
        <v>67</v>
      </c>
      <c r="G88">
        <v>4</v>
      </c>
      <c r="H88">
        <v>45000</v>
      </c>
      <c r="I88">
        <v>180000</v>
      </c>
      <c r="J88" t="s">
        <v>21</v>
      </c>
    </row>
    <row r="89" spans="1:10" x14ac:dyDescent="0.25">
      <c r="A89">
        <v>1088</v>
      </c>
      <c r="B89">
        <v>45720</v>
      </c>
      <c r="C89" t="s">
        <v>16</v>
      </c>
      <c r="D89" t="s">
        <v>29</v>
      </c>
      <c r="E89" t="s">
        <v>25</v>
      </c>
      <c r="F89" t="s">
        <v>13</v>
      </c>
      <c r="G89">
        <v>3</v>
      </c>
      <c r="H89">
        <v>55000</v>
      </c>
      <c r="I89">
        <v>165000</v>
      </c>
      <c r="J89" t="s">
        <v>15</v>
      </c>
    </row>
    <row r="90" spans="1:10" x14ac:dyDescent="0.25">
      <c r="A90">
        <v>1089</v>
      </c>
      <c r="B90">
        <v>45776</v>
      </c>
      <c r="C90" t="s">
        <v>22</v>
      </c>
      <c r="D90" t="s">
        <v>61</v>
      </c>
      <c r="E90" t="s">
        <v>60</v>
      </c>
      <c r="F90" t="s">
        <v>13</v>
      </c>
      <c r="G90">
        <v>6</v>
      </c>
      <c r="H90">
        <v>15000</v>
      </c>
      <c r="I90">
        <v>90000</v>
      </c>
      <c r="J90" t="s">
        <v>15</v>
      </c>
    </row>
    <row r="91" spans="1:10" x14ac:dyDescent="0.25">
      <c r="A91">
        <v>1090</v>
      </c>
      <c r="B91">
        <v>45669</v>
      </c>
      <c r="C91" t="s">
        <v>10</v>
      </c>
      <c r="D91" t="s">
        <v>59</v>
      </c>
      <c r="E91" t="s">
        <v>36</v>
      </c>
      <c r="F91" t="s">
        <v>30</v>
      </c>
      <c r="G91">
        <v>3</v>
      </c>
      <c r="H91">
        <v>7000</v>
      </c>
      <c r="I91">
        <v>21000</v>
      </c>
      <c r="J91" t="s">
        <v>21</v>
      </c>
    </row>
    <row r="92" spans="1:10" x14ac:dyDescent="0.25">
      <c r="A92">
        <v>1091</v>
      </c>
      <c r="B92">
        <v>45721</v>
      </c>
      <c r="C92" t="s">
        <v>10</v>
      </c>
      <c r="D92" t="s">
        <v>61</v>
      </c>
      <c r="E92" t="s">
        <v>68</v>
      </c>
      <c r="F92" t="s">
        <v>67</v>
      </c>
      <c r="G92">
        <v>5</v>
      </c>
      <c r="H92">
        <v>45000</v>
      </c>
      <c r="I92">
        <v>225000</v>
      </c>
      <c r="J92" t="s">
        <v>21</v>
      </c>
    </row>
    <row r="93" spans="1:10" x14ac:dyDescent="0.25">
      <c r="A93">
        <v>1092</v>
      </c>
      <c r="B93">
        <v>45671</v>
      </c>
      <c r="C93" t="s">
        <v>16</v>
      </c>
      <c r="D93" t="s">
        <v>64</v>
      </c>
      <c r="E93" t="s">
        <v>25</v>
      </c>
      <c r="F93" t="s">
        <v>13</v>
      </c>
      <c r="G93">
        <v>7</v>
      </c>
      <c r="H93">
        <v>55000</v>
      </c>
      <c r="I93">
        <v>385000</v>
      </c>
      <c r="J93" t="s">
        <v>15</v>
      </c>
    </row>
    <row r="94" spans="1:10" x14ac:dyDescent="0.25">
      <c r="A94">
        <v>1093</v>
      </c>
      <c r="B94">
        <v>45817</v>
      </c>
      <c r="C94" t="s">
        <v>16</v>
      </c>
      <c r="D94" t="s">
        <v>12</v>
      </c>
      <c r="E94" t="s">
        <v>69</v>
      </c>
      <c r="F94" t="s">
        <v>67</v>
      </c>
      <c r="G94">
        <v>7</v>
      </c>
      <c r="H94">
        <v>12000</v>
      </c>
      <c r="I94">
        <v>84000</v>
      </c>
      <c r="J94" t="s">
        <v>21</v>
      </c>
    </row>
    <row r="95" spans="1:10" x14ac:dyDescent="0.25">
      <c r="A95">
        <v>1094</v>
      </c>
      <c r="B95">
        <v>45799</v>
      </c>
      <c r="C95" t="s">
        <v>10</v>
      </c>
      <c r="D95" t="s">
        <v>64</v>
      </c>
      <c r="E95" t="s">
        <v>68</v>
      </c>
      <c r="F95" t="s">
        <v>67</v>
      </c>
      <c r="G95">
        <v>1</v>
      </c>
      <c r="H95">
        <v>45000</v>
      </c>
      <c r="I95">
        <v>45000</v>
      </c>
      <c r="J95" t="s">
        <v>21</v>
      </c>
    </row>
    <row r="96" spans="1:10" x14ac:dyDescent="0.25">
      <c r="A96">
        <v>1095</v>
      </c>
      <c r="B96">
        <v>45761</v>
      </c>
      <c r="C96" t="s">
        <v>22</v>
      </c>
      <c r="D96" t="s">
        <v>61</v>
      </c>
      <c r="E96" t="s">
        <v>68</v>
      </c>
      <c r="F96" t="s">
        <v>67</v>
      </c>
      <c r="G96">
        <v>8</v>
      </c>
      <c r="H96">
        <v>45000</v>
      </c>
      <c r="I96">
        <v>360000</v>
      </c>
      <c r="J96" t="s">
        <v>21</v>
      </c>
    </row>
    <row r="97" spans="1:10" x14ac:dyDescent="0.25">
      <c r="A97">
        <v>1096</v>
      </c>
      <c r="B97">
        <v>45776</v>
      </c>
      <c r="C97" t="s">
        <v>16</v>
      </c>
      <c r="D97" t="s">
        <v>59</v>
      </c>
      <c r="E97" t="s">
        <v>63</v>
      </c>
      <c r="F97" t="s">
        <v>13</v>
      </c>
      <c r="G97">
        <v>9</v>
      </c>
      <c r="H97">
        <v>1500</v>
      </c>
      <c r="I97">
        <v>13500</v>
      </c>
      <c r="J97" t="s">
        <v>62</v>
      </c>
    </row>
    <row r="98" spans="1:10" x14ac:dyDescent="0.25">
      <c r="A98">
        <v>1097</v>
      </c>
      <c r="B98">
        <v>45818</v>
      </c>
      <c r="C98" t="s">
        <v>10</v>
      </c>
      <c r="D98" t="s">
        <v>29</v>
      </c>
      <c r="E98" t="s">
        <v>25</v>
      </c>
      <c r="F98" t="s">
        <v>13</v>
      </c>
      <c r="G98">
        <v>6</v>
      </c>
      <c r="H98">
        <v>55000</v>
      </c>
      <c r="I98">
        <v>330000</v>
      </c>
      <c r="J98" t="s">
        <v>15</v>
      </c>
    </row>
    <row r="99" spans="1:10" x14ac:dyDescent="0.25">
      <c r="A99">
        <v>1098</v>
      </c>
      <c r="B99">
        <v>45801</v>
      </c>
      <c r="C99" t="s">
        <v>27</v>
      </c>
      <c r="D99" t="s">
        <v>64</v>
      </c>
      <c r="E99" t="s">
        <v>25</v>
      </c>
      <c r="F99" t="s">
        <v>13</v>
      </c>
      <c r="G99">
        <v>2</v>
      </c>
      <c r="H99">
        <v>55000</v>
      </c>
      <c r="I99">
        <v>110000</v>
      </c>
      <c r="J99" t="s">
        <v>21</v>
      </c>
    </row>
    <row r="100" spans="1:10" x14ac:dyDescent="0.25">
      <c r="A100">
        <v>1099</v>
      </c>
      <c r="B100">
        <v>45675</v>
      </c>
      <c r="C100" t="s">
        <v>10</v>
      </c>
      <c r="D100" t="s">
        <v>29</v>
      </c>
      <c r="E100" t="s">
        <v>60</v>
      </c>
      <c r="F100" t="s">
        <v>13</v>
      </c>
      <c r="G100">
        <v>6</v>
      </c>
      <c r="H100">
        <v>15000</v>
      </c>
      <c r="I100">
        <v>90000</v>
      </c>
      <c r="J100" t="s">
        <v>62</v>
      </c>
    </row>
    <row r="101" spans="1:10" x14ac:dyDescent="0.25">
      <c r="A101">
        <v>1100</v>
      </c>
      <c r="B101">
        <v>45765</v>
      </c>
      <c r="C101" t="s">
        <v>22</v>
      </c>
      <c r="D101" t="s">
        <v>59</v>
      </c>
      <c r="E101" t="s">
        <v>63</v>
      </c>
      <c r="F101" t="s">
        <v>13</v>
      </c>
      <c r="G101">
        <v>10</v>
      </c>
      <c r="H101">
        <v>1500</v>
      </c>
      <c r="I101">
        <v>15000</v>
      </c>
      <c r="J101" t="s">
        <v>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BA95B-B6A9-4C20-9E69-8197CFF631A3}">
  <sheetPr codeName="Sheet4"/>
  <dimension ref="A6:D26"/>
  <sheetViews>
    <sheetView zoomScale="112" zoomScaleNormal="112" workbookViewId="0">
      <selection activeCell="D19" sqref="D19"/>
    </sheetView>
  </sheetViews>
  <sheetFormatPr defaultRowHeight="13.8" x14ac:dyDescent="0.25"/>
  <cols>
    <col min="1" max="1" width="16.59765625" bestFit="1" customWidth="1"/>
    <col min="2" max="2" width="15.796875" bestFit="1" customWidth="1"/>
    <col min="3" max="3" width="14.69921875" bestFit="1" customWidth="1"/>
    <col min="4" max="5" width="15.796875" bestFit="1" customWidth="1"/>
  </cols>
  <sheetData>
    <row r="6" spans="1:4" x14ac:dyDescent="0.25">
      <c r="A6" s="1" t="s">
        <v>45</v>
      </c>
      <c r="B6" t="s">
        <v>72</v>
      </c>
      <c r="C6" t="s">
        <v>70</v>
      </c>
      <c r="D6" t="s">
        <v>71</v>
      </c>
    </row>
    <row r="7" spans="1:4" x14ac:dyDescent="0.25">
      <c r="A7" s="2" t="s">
        <v>31</v>
      </c>
      <c r="B7">
        <v>11</v>
      </c>
      <c r="C7">
        <v>5000</v>
      </c>
      <c r="D7">
        <v>27500</v>
      </c>
    </row>
    <row r="8" spans="1:4" x14ac:dyDescent="0.25">
      <c r="A8" s="3" t="s">
        <v>30</v>
      </c>
      <c r="B8">
        <v>11</v>
      </c>
      <c r="C8">
        <v>5000</v>
      </c>
      <c r="D8">
        <v>27500</v>
      </c>
    </row>
    <row r="9" spans="1:4" x14ac:dyDescent="0.25">
      <c r="A9" s="2" t="s">
        <v>40</v>
      </c>
      <c r="B9">
        <v>12</v>
      </c>
      <c r="C9">
        <v>90000</v>
      </c>
      <c r="D9">
        <v>360000</v>
      </c>
    </row>
    <row r="10" spans="1:4" x14ac:dyDescent="0.25">
      <c r="A10" s="3" t="s">
        <v>30</v>
      </c>
      <c r="B10">
        <v>12</v>
      </c>
      <c r="C10">
        <v>90000</v>
      </c>
      <c r="D10">
        <v>360000</v>
      </c>
    </row>
    <row r="11" spans="1:4" x14ac:dyDescent="0.25">
      <c r="A11" s="2" t="s">
        <v>46</v>
      </c>
      <c r="B11">
        <v>23</v>
      </c>
      <c r="C11">
        <v>95000</v>
      </c>
      <c r="D11">
        <v>387500</v>
      </c>
    </row>
    <row r="22" spans="1:2" x14ac:dyDescent="0.25">
      <c r="A22" s="1" t="s">
        <v>45</v>
      </c>
      <c r="B22" t="s">
        <v>71</v>
      </c>
    </row>
    <row r="23" spans="1:2" x14ac:dyDescent="0.25">
      <c r="A23" s="2" t="s">
        <v>67</v>
      </c>
      <c r="B23">
        <v>5644000</v>
      </c>
    </row>
    <row r="24" spans="1:2" x14ac:dyDescent="0.25">
      <c r="A24" s="2" t="s">
        <v>13</v>
      </c>
      <c r="B24">
        <v>7540000</v>
      </c>
    </row>
    <row r="25" spans="1:2" x14ac:dyDescent="0.25">
      <c r="A25" s="2" t="s">
        <v>30</v>
      </c>
      <c r="B25">
        <v>869500</v>
      </c>
    </row>
    <row r="26" spans="1:2" x14ac:dyDescent="0.25">
      <c r="A26" s="2" t="s">
        <v>46</v>
      </c>
      <c r="B26">
        <v>14053500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2A373-4AAC-453D-9758-C7073864151E}">
  <sheetPr codeName="Sheet5"/>
  <dimension ref="A1:T4"/>
  <sheetViews>
    <sheetView tabSelected="1" workbookViewId="0">
      <selection activeCell="C6" sqref="C6"/>
    </sheetView>
  </sheetViews>
  <sheetFormatPr defaultRowHeight="13.8" x14ac:dyDescent="0.25"/>
  <cols>
    <col min="1" max="1" width="11.8984375" bestFit="1" customWidth="1"/>
    <col min="2" max="2" width="12.09765625" bestFit="1" customWidth="1"/>
    <col min="3" max="3" width="8.59765625" bestFit="1" customWidth="1"/>
    <col min="4" max="4" width="9.3984375" bestFit="1" customWidth="1"/>
    <col min="5" max="5" width="14.59765625" bestFit="1" customWidth="1"/>
    <col min="6" max="6" width="9.69921875" bestFit="1" customWidth="1"/>
    <col min="7" max="7" width="6.8984375" bestFit="1" customWidth="1"/>
    <col min="8" max="8" width="15.796875" bestFit="1" customWidth="1"/>
    <col min="9" max="9" width="9.69921875" bestFit="1" customWidth="1"/>
    <col min="10" max="10" width="7.8984375" bestFit="1" customWidth="1"/>
    <col min="11" max="11" width="18.19921875" bestFit="1" customWidth="1"/>
    <col min="12" max="12" width="19.09765625" bestFit="1" customWidth="1"/>
    <col min="13" max="13" width="20.296875" bestFit="1" customWidth="1"/>
  </cols>
  <sheetData>
    <row r="1" spans="1:20" x14ac:dyDescent="0.25">
      <c r="A1" s="5" t="s">
        <v>73</v>
      </c>
      <c r="B1" s="5"/>
      <c r="C1" s="5"/>
      <c r="D1" s="5"/>
      <c r="E1" s="5"/>
      <c r="F1" s="5"/>
      <c r="G1" s="5"/>
      <c r="H1" s="5"/>
      <c r="I1" s="5"/>
      <c r="J1" s="5"/>
      <c r="K1" s="5"/>
      <c r="L1" s="5"/>
      <c r="M1" s="5"/>
      <c r="N1" s="5"/>
      <c r="O1" s="5"/>
      <c r="P1" s="5"/>
      <c r="Q1" s="5"/>
      <c r="R1" s="5"/>
      <c r="S1" s="5"/>
      <c r="T1" s="5"/>
    </row>
    <row r="2" spans="1:20" x14ac:dyDescent="0.25">
      <c r="A2" s="5"/>
      <c r="B2" s="5"/>
      <c r="C2" s="5"/>
      <c r="D2" s="5"/>
      <c r="E2" s="5"/>
      <c r="F2" s="5"/>
      <c r="G2" s="5"/>
      <c r="H2" s="5"/>
      <c r="I2" s="5"/>
      <c r="J2" s="5"/>
      <c r="K2" s="5"/>
      <c r="L2" s="5"/>
      <c r="M2" s="5"/>
      <c r="N2" s="5"/>
      <c r="O2" s="5"/>
      <c r="P2" s="5"/>
      <c r="Q2" s="5"/>
      <c r="R2" s="5"/>
      <c r="S2" s="5"/>
      <c r="T2" s="5"/>
    </row>
    <row r="3" spans="1:20" x14ac:dyDescent="0.25">
      <c r="A3" s="1" t="s">
        <v>45</v>
      </c>
      <c r="B3" t="s">
        <v>75</v>
      </c>
      <c r="C3" t="s">
        <v>74</v>
      </c>
      <c r="D3" t="s">
        <v>76</v>
      </c>
    </row>
    <row r="4" spans="1:20" x14ac:dyDescent="0.25">
      <c r="A4" s="2" t="s">
        <v>46</v>
      </c>
    </row>
  </sheetData>
  <mergeCells count="1">
    <mergeCell ref="A1:T2"/>
  </mergeCells>
  <pageMargins left="0.7" right="0.7" top="0.75" bottom="0.75" header="0.3" footer="0.3"/>
  <drawing r:id="rId2"/>
  <extLs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F1B8ED-BE70-49BD-BE91-F6CEAB7685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PIVOT_TABLE_CHARTS</vt:lpstr>
      <vt:lpstr>SLICER</vt:lpstr>
      <vt:lpstr>sales_data_100_records (1)</vt:lpstr>
      <vt:lpstr>SLICER_SETTINGS</vt:lpstr>
      <vt:lpstr>TIMELINE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 pateriya</dc:creator>
  <cp:lastModifiedBy>aayush pateriya</cp:lastModifiedBy>
  <dcterms:created xsi:type="dcterms:W3CDTF">2026-02-12T08:22:39Z</dcterms:created>
  <dcterms:modified xsi:type="dcterms:W3CDTF">2026-02-15T16:50:13Z</dcterms:modified>
</cp:coreProperties>
</file>