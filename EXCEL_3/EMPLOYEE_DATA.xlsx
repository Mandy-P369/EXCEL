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c81b0e6ad29d4c/Desktop/EXCEL/EXCEL_3/"/>
    </mc:Choice>
  </mc:AlternateContent>
  <xr:revisionPtr revIDLastSave="0" documentId="14_{E0436E86-9F49-4AEB-A20D-D1D3EC883B58}" xr6:coauthVersionLast="47" xr6:coauthVersionMax="47" xr10:uidLastSave="{00000000-0000-0000-0000-000000000000}"/>
  <bookViews>
    <workbookView xWindow="-108" yWindow="-108" windowWidth="23256" windowHeight="13176" activeTab="1" xr2:uid="{D9DCE633-EE0A-463B-92F6-F4512984E039}"/>
  </bookViews>
  <sheets>
    <sheet name="EMPLOYEE_DATA " sheetId="2" r:id="rId1"/>
    <sheet name="TABLE" sheetId="1" r:id="rId2"/>
  </sheets>
  <definedNames>
    <definedName name="ExternalData_1" localSheetId="0" hidden="1">'EMPLOYEE_DATA '!$A$1:$U$41</definedName>
    <definedName name="NativeTimeline_Join_Date">#N/A</definedName>
  </definedNames>
  <calcPr calcId="0"/>
  <pivotCaches>
    <pivotCache cacheId="4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4"/>
      </x15:timelineCacheRef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E5403A-14EB-4036-A63E-A169FC095E74}" keepAlive="1" name="Query - EMPLOYEE_DATA" description="Connection to the 'EMPLOYEE_DATA' query in the workbook." type="5" refreshedVersion="8" background="1" saveData="1">
    <dbPr connection="Provider=Microsoft.Mashup.OleDb.1;Data Source=$Workbook$;Location=EMPLOYEE_DATA;Extended Properties=&quot;&quot;" command="SELECT * FROM [EMPLOYEE_DATA]"/>
  </connection>
</connections>
</file>

<file path=xl/sharedStrings.xml><?xml version="1.0" encoding="utf-8"?>
<sst xmlns="http://schemas.openxmlformats.org/spreadsheetml/2006/main" count="645" uniqueCount="237">
  <si>
    <t>Sum of Salary</t>
  </si>
  <si>
    <t>Marital_Status</t>
  </si>
  <si>
    <t>Gender</t>
  </si>
  <si>
    <t>Married</t>
  </si>
  <si>
    <t>Single</t>
  </si>
  <si>
    <t>Grand Total</t>
  </si>
  <si>
    <t>Female</t>
  </si>
  <si>
    <t>Male</t>
  </si>
  <si>
    <t>Bangalore</t>
  </si>
  <si>
    <t>Chennai</t>
  </si>
  <si>
    <t>Delhi</t>
  </si>
  <si>
    <t>Hyderabad</t>
  </si>
  <si>
    <t>Kolkata</t>
  </si>
  <si>
    <t>Mumbai</t>
  </si>
  <si>
    <t>Emp_ID</t>
  </si>
  <si>
    <t>First_Name</t>
  </si>
  <si>
    <t>Last_Name</t>
  </si>
  <si>
    <t>Age</t>
  </si>
  <si>
    <t>Department</t>
  </si>
  <si>
    <t>Job_Role</t>
  </si>
  <si>
    <t>Location</t>
  </si>
  <si>
    <t>Join_Date</t>
  </si>
  <si>
    <t>Experience_Years</t>
  </si>
  <si>
    <t>Employment_Type</t>
  </si>
  <si>
    <t>Salary</t>
  </si>
  <si>
    <t>Bonus</t>
  </si>
  <si>
    <t>Performance_Rating</t>
  </si>
  <si>
    <t>Overtime_Hours</t>
  </si>
  <si>
    <t>Training_Hours</t>
  </si>
  <si>
    <t>Leave_Taken</t>
  </si>
  <si>
    <t>Education_Level</t>
  </si>
  <si>
    <t>Promotion_Last_Year</t>
  </si>
  <si>
    <t>Attrition</t>
  </si>
  <si>
    <t>E001</t>
  </si>
  <si>
    <t>Rahul</t>
  </si>
  <si>
    <t>Sharma</t>
  </si>
  <si>
    <t>IT</t>
  </si>
  <si>
    <t>Data Analyst</t>
  </si>
  <si>
    <t>Full-Time</t>
  </si>
  <si>
    <t>Graduate</t>
  </si>
  <si>
    <t>No</t>
  </si>
  <si>
    <t>E002</t>
  </si>
  <si>
    <t>Priya</t>
  </si>
  <si>
    <t>Verma</t>
  </si>
  <si>
    <t>HR</t>
  </si>
  <si>
    <t>HR Manager</t>
  </si>
  <si>
    <t>Postgraduate</t>
  </si>
  <si>
    <t>Yes</t>
  </si>
  <si>
    <t>E003</t>
  </si>
  <si>
    <t>Amit</t>
  </si>
  <si>
    <t>Patel</t>
  </si>
  <si>
    <t>Finance</t>
  </si>
  <si>
    <t>Accountant</t>
  </si>
  <si>
    <t>E004</t>
  </si>
  <si>
    <t>Neha</t>
  </si>
  <si>
    <t>Singh</t>
  </si>
  <si>
    <t>Sales</t>
  </si>
  <si>
    <t>Sales Executive</t>
  </si>
  <si>
    <t>E005</t>
  </si>
  <si>
    <t>Arjun</t>
  </si>
  <si>
    <t>Kumar</t>
  </si>
  <si>
    <t>Software Engineer</t>
  </si>
  <si>
    <t>E006</t>
  </si>
  <si>
    <t>Simran</t>
  </si>
  <si>
    <t>Kaur</t>
  </si>
  <si>
    <t>Marketing</t>
  </si>
  <si>
    <t>Marketing Analyst</t>
  </si>
  <si>
    <t>E007</t>
  </si>
  <si>
    <t>Rohit</t>
  </si>
  <si>
    <t>Yadav</t>
  </si>
  <si>
    <t>Operations</t>
  </si>
  <si>
    <t>Operations Manager</t>
  </si>
  <si>
    <t>E008</t>
  </si>
  <si>
    <t>Anjali</t>
  </si>
  <si>
    <t>Mehta</t>
  </si>
  <si>
    <t>Data Engineer</t>
  </si>
  <si>
    <t>Contract</t>
  </si>
  <si>
    <t>E009</t>
  </si>
  <si>
    <t>Karan</t>
  </si>
  <si>
    <t>Malhotra</t>
  </si>
  <si>
    <t>Sales Manager</t>
  </si>
  <si>
    <t>MBA</t>
  </si>
  <si>
    <t>E010</t>
  </si>
  <si>
    <t>Pooja</t>
  </si>
  <si>
    <t>Reddy</t>
  </si>
  <si>
    <t>HR Executive</t>
  </si>
  <si>
    <t>Intern</t>
  </si>
  <si>
    <t>E011</t>
  </si>
  <si>
    <t>Vikram</t>
  </si>
  <si>
    <t>Joshi</t>
  </si>
  <si>
    <t>Financial Analyst</t>
  </si>
  <si>
    <t>E012</t>
  </si>
  <si>
    <t>Divya</t>
  </si>
  <si>
    <t>Nair</t>
  </si>
  <si>
    <t>UI Designer</t>
  </si>
  <si>
    <t>E013</t>
  </si>
  <si>
    <t>Manish</t>
  </si>
  <si>
    <t>Agarwal</t>
  </si>
  <si>
    <t>Supply Chain Manager</t>
  </si>
  <si>
    <t>E014</t>
  </si>
  <si>
    <t>Sneha</t>
  </si>
  <si>
    <t>Kapoor</t>
  </si>
  <si>
    <t>Brand Manager</t>
  </si>
  <si>
    <t>E015</t>
  </si>
  <si>
    <t>Akash</t>
  </si>
  <si>
    <t>Gupta</t>
  </si>
  <si>
    <t>Support Engineer</t>
  </si>
  <si>
    <t>E016</t>
  </si>
  <si>
    <t>Ritu</t>
  </si>
  <si>
    <t>Saxena</t>
  </si>
  <si>
    <t>Senior Accountant</t>
  </si>
  <si>
    <t>E017</t>
  </si>
  <si>
    <t>Sachin</t>
  </si>
  <si>
    <t>Thakur</t>
  </si>
  <si>
    <t>E018</t>
  </si>
  <si>
    <t>Tanya</t>
  </si>
  <si>
    <t>Bhatia</t>
  </si>
  <si>
    <t>Digital Marketer</t>
  </si>
  <si>
    <t>E019</t>
  </si>
  <si>
    <t>Nikhil</t>
  </si>
  <si>
    <t>Chopra</t>
  </si>
  <si>
    <t>Logistics Head</t>
  </si>
  <si>
    <t>E020</t>
  </si>
  <si>
    <t>Meera</t>
  </si>
  <si>
    <t>Iyer</t>
  </si>
  <si>
    <t>QA Engineer</t>
  </si>
  <si>
    <t>E021</t>
  </si>
  <si>
    <t>Harsh</t>
  </si>
  <si>
    <t>Tripathi</t>
  </si>
  <si>
    <t>Backend Developer</t>
  </si>
  <si>
    <t>E022</t>
  </si>
  <si>
    <t>Shreya</t>
  </si>
  <si>
    <t>Mishra</t>
  </si>
  <si>
    <t>Talent Acquisition Specialist</t>
  </si>
  <si>
    <t>E023</t>
  </si>
  <si>
    <t>Deepak</t>
  </si>
  <si>
    <t>Shah</t>
  </si>
  <si>
    <t>Finance Manager</t>
  </si>
  <si>
    <t>E024</t>
  </si>
  <si>
    <t>Ishita</t>
  </si>
  <si>
    <t>Ghosh</t>
  </si>
  <si>
    <t>Content Strategist</t>
  </si>
  <si>
    <t>E025</t>
  </si>
  <si>
    <t>Varun</t>
  </si>
  <si>
    <t>Sethi</t>
  </si>
  <si>
    <t>Regional Sales Manager</t>
  </si>
  <si>
    <t>E026</t>
  </si>
  <si>
    <t>Kritika</t>
  </si>
  <si>
    <t>Arora</t>
  </si>
  <si>
    <t>Frontend Developer</t>
  </si>
  <si>
    <t>E027</t>
  </si>
  <si>
    <t>Sandeep</t>
  </si>
  <si>
    <t>Rao</t>
  </si>
  <si>
    <t>Plant Supervisor</t>
  </si>
  <si>
    <t>E028</t>
  </si>
  <si>
    <t>Naina</t>
  </si>
  <si>
    <t>Chaudhary</t>
  </si>
  <si>
    <t>Junior Accountant</t>
  </si>
  <si>
    <t>E029</t>
  </si>
  <si>
    <t>Aditya</t>
  </si>
  <si>
    <t>Banerjee</t>
  </si>
  <si>
    <t>Project Manager</t>
  </si>
  <si>
    <t>E030</t>
  </si>
  <si>
    <t>Komal</t>
  </si>
  <si>
    <t>Jain</t>
  </si>
  <si>
    <t>Sales Coordinator</t>
  </si>
  <si>
    <t>E031</t>
  </si>
  <si>
    <t>Prakash</t>
  </si>
  <si>
    <t>Pillai</t>
  </si>
  <si>
    <t>Operations Head</t>
  </si>
  <si>
    <t>E032</t>
  </si>
  <si>
    <t>Aarti</t>
  </si>
  <si>
    <t>Deshmukh</t>
  </si>
  <si>
    <t>SEO Specialist</t>
  </si>
  <si>
    <t>E033</t>
  </si>
  <si>
    <t>Manav</t>
  </si>
  <si>
    <t>Khanna</t>
  </si>
  <si>
    <t>Cloud Engineer</t>
  </si>
  <si>
    <t>E034</t>
  </si>
  <si>
    <t>Radhika</t>
  </si>
  <si>
    <t>Singhal</t>
  </si>
  <si>
    <t>HR Business Partner</t>
  </si>
  <si>
    <t>E035</t>
  </si>
  <si>
    <t>Kunal</t>
  </si>
  <si>
    <t>Bhardwaj</t>
  </si>
  <si>
    <t>Social Media Executive</t>
  </si>
  <si>
    <t>E036</t>
  </si>
  <si>
    <t>Payal</t>
  </si>
  <si>
    <t>Tax Consultant</t>
  </si>
  <si>
    <t>E037</t>
  </si>
  <si>
    <t>Abhishek</t>
  </si>
  <si>
    <t>Tiwari</t>
  </si>
  <si>
    <t>Area Sales Executive</t>
  </si>
  <si>
    <t>E038</t>
  </si>
  <si>
    <t>Sonali</t>
  </si>
  <si>
    <t>Patankar</t>
  </si>
  <si>
    <t>DevOps Engineer</t>
  </si>
  <si>
    <t>E039</t>
  </si>
  <si>
    <t>Gaurav</t>
  </si>
  <si>
    <t>Srivastava</t>
  </si>
  <si>
    <t>Warehouse Manager</t>
  </si>
  <si>
    <t>E040</t>
  </si>
  <si>
    <t>Megha</t>
  </si>
  <si>
    <t>Thomas</t>
  </si>
  <si>
    <t>Marketing Manager</t>
  </si>
  <si>
    <t>Qtr2</t>
  </si>
  <si>
    <t>Qtr1</t>
  </si>
  <si>
    <t>Qtr3</t>
  </si>
  <si>
    <t>Qtr4</t>
  </si>
  <si>
    <t>Surat</t>
  </si>
  <si>
    <t>Quarters (Join_Date)</t>
  </si>
  <si>
    <t>Months (Join_Date)</t>
  </si>
  <si>
    <t>Days (Join_Date)</t>
  </si>
  <si>
    <t>Values</t>
  </si>
  <si>
    <t>Sum of Bonus</t>
  </si>
  <si>
    <t>Total Sum of Salary</t>
  </si>
  <si>
    <t>Total Sum of Bonus</t>
  </si>
  <si>
    <t>Row Labels</t>
  </si>
  <si>
    <t>Percent of Total</t>
  </si>
  <si>
    <t>Total Bonus</t>
  </si>
  <si>
    <t>Percent of Bonus</t>
  </si>
  <si>
    <t>Total Salary</t>
  </si>
  <si>
    <t xml:space="preserve">Percent of Total </t>
  </si>
  <si>
    <t>Bangalore Total</t>
  </si>
  <si>
    <t>Chennai Total</t>
  </si>
  <si>
    <t>Delhi Total</t>
  </si>
  <si>
    <t>Hyderabad Total</t>
  </si>
  <si>
    <t>Kolkata Total</t>
  </si>
  <si>
    <t>Mumbai Total</t>
  </si>
  <si>
    <t>Surat Total</t>
  </si>
  <si>
    <t>total Salary</t>
  </si>
  <si>
    <t>% of Total Salary</t>
  </si>
  <si>
    <t>% of Total Bonus</t>
  </si>
  <si>
    <t>Right Click  ---&gt; Show Value as --&gt; functions</t>
  </si>
  <si>
    <t>% of Column Total</t>
  </si>
  <si>
    <t>% of Bonus</t>
  </si>
  <si>
    <t>%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</si>
</sst>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0" fillId="33" borderId="0" xfId="0" applyFill="1"/>
    <xf numFmtId="10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NumberFormat="1"/>
    <xf numFmtId="0" fontId="0" fillId="0" borderId="0" xfId="0" applyBorder="1"/>
    <xf numFmtId="0" fontId="0" fillId="0" borderId="0" xfId="0" applyNumberFormat="1" applyBorder="1"/>
    <xf numFmtId="10" fontId="0" fillId="0" borderId="0" xfId="0" applyNumberFormat="1" applyBorder="1"/>
    <xf numFmtId="0" fontId="0" fillId="0" borderId="10" xfId="0" applyNumberFormat="1" applyBorder="1"/>
    <xf numFmtId="10" fontId="0" fillId="0" borderId="10" xfId="0" applyNumberFormat="1" applyBorder="1"/>
    <xf numFmtId="0" fontId="18" fillId="34" borderId="0" xfId="0" applyFont="1" applyFill="1" applyAlignment="1">
      <alignment horizontal="center"/>
    </xf>
    <xf numFmtId="0" fontId="0" fillId="0" borderId="13" xfId="0" applyBorder="1"/>
    <xf numFmtId="0" fontId="0" fillId="0" borderId="14" xfId="0" applyBorder="1"/>
    <xf numFmtId="10" fontId="0" fillId="0" borderId="16" xfId="0" applyNumberFormat="1" applyBorder="1"/>
    <xf numFmtId="0" fontId="0" fillId="0" borderId="18" xfId="0" applyNumberFormat="1" applyBorder="1"/>
    <xf numFmtId="10" fontId="0" fillId="0" borderId="18" xfId="0" applyNumberFormat="1" applyBorder="1"/>
    <xf numFmtId="10" fontId="0" fillId="0" borderId="19" xfId="0" applyNumberFormat="1" applyBorder="1"/>
    <xf numFmtId="0" fontId="0" fillId="0" borderId="12" xfId="0" applyNumberFormat="1" applyBorder="1"/>
    <xf numFmtId="10" fontId="0" fillId="0" borderId="13" xfId="0" applyNumberFormat="1" applyBorder="1"/>
    <xf numFmtId="0" fontId="0" fillId="0" borderId="13" xfId="0" applyNumberFormat="1" applyBorder="1"/>
    <xf numFmtId="10" fontId="0" fillId="0" borderId="14" xfId="0" applyNumberFormat="1" applyBorder="1"/>
    <xf numFmtId="0" fontId="0" fillId="0" borderId="15" xfId="0" applyNumberFormat="1" applyBorder="1"/>
    <xf numFmtId="0" fontId="0" fillId="0" borderId="17" xfId="0" applyNumberFormat="1" applyBorder="1"/>
    <xf numFmtId="0" fontId="0" fillId="0" borderId="11" xfId="0" pivotButton="1" applyBorder="1"/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6" fillId="0" borderId="0" xfId="0" applyFont="1"/>
    <xf numFmtId="0" fontId="19" fillId="34" borderId="0" xfId="0" applyFont="1" applyFill="1" applyAlignment="1">
      <alignment horizontal="center"/>
    </xf>
    <xf numFmtId="0" fontId="0" fillId="0" borderId="13" xfId="0" pivotButton="1" applyBorder="1"/>
    <xf numFmtId="0" fontId="0" fillId="0" borderId="15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8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4" formatCode="0.00%"/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microsoft.com/office/2011/relationships/timelineCache" Target="timelineCaches/timelineCache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[EMPLOYEE_DATA.xlsx]TABLE!PivotTable3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TABLE!$B$17:$B$18</c:f>
              <c:strCache>
                <c:ptCount val="1"/>
                <c:pt idx="0">
                  <c:v>Total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TABLE!$A$19:$A$26</c:f>
              <c:strCache>
                <c:ptCount val="7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Surat</c:v>
                </c:pt>
              </c:strCache>
            </c:strRef>
          </c:cat>
          <c:val>
            <c:numRef>
              <c:f>TABLE!$B$19:$B$26</c:f>
              <c:numCache>
                <c:formatCode>General</c:formatCode>
                <c:ptCount val="7"/>
                <c:pt idx="0">
                  <c:v>3140000</c:v>
                </c:pt>
                <c:pt idx="1">
                  <c:v>4900000</c:v>
                </c:pt>
                <c:pt idx="2">
                  <c:v>4710000</c:v>
                </c:pt>
                <c:pt idx="3">
                  <c:v>4930000</c:v>
                </c:pt>
                <c:pt idx="4">
                  <c:v>3260000</c:v>
                </c:pt>
                <c:pt idx="5">
                  <c:v>7100000</c:v>
                </c:pt>
                <c:pt idx="6">
                  <c:v>4960000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2A1-4A8A-809A-A43690E317AD}"/>
            </c:ext>
          </c:extLst>
        </c:ser>
        <c:ser>
          <c:idx val="1"/>
          <c:order val="1"/>
          <c:tx>
            <c:strRef>
              <c:f>TABLE!$C$17:$C$18</c:f>
              <c:strCache>
                <c:ptCount val="1"/>
                <c:pt idx="0">
                  <c:v>Percent of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TABLE!$A$19:$A$26</c:f>
              <c:strCache>
                <c:ptCount val="7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Surat</c:v>
                </c:pt>
              </c:strCache>
            </c:strRef>
          </c:cat>
          <c:val>
            <c:numRef>
              <c:f>TABLE!$C$19:$C$26</c:f>
              <c:numCache>
                <c:formatCode>0.00%</c:formatCode>
                <c:ptCount val="7"/>
                <c:pt idx="0">
                  <c:v>9.5151515151515154E-2</c:v>
                </c:pt>
                <c:pt idx="1">
                  <c:v>0.1484848484848485</c:v>
                </c:pt>
                <c:pt idx="2">
                  <c:v>0.14272727272727273</c:v>
                </c:pt>
                <c:pt idx="3">
                  <c:v>0.14939393939393938</c:v>
                </c:pt>
                <c:pt idx="4">
                  <c:v>9.8787878787878786E-2</c:v>
                </c:pt>
                <c:pt idx="5">
                  <c:v>0.21515151515151515</c:v>
                </c:pt>
                <c:pt idx="6">
                  <c:v>0.1503030303030303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A1-4A8A-809A-A43690E317AD}"/>
            </c:ext>
          </c:extLst>
        </c:ser>
        <c:ser>
          <c:idx val="2"/>
          <c:order val="2"/>
          <c:tx>
            <c:strRef>
              <c:f>TABLE!$D$17:$D$18</c:f>
              <c:strCache>
                <c:ptCount val="1"/>
                <c:pt idx="0">
                  <c:v>Total Bonus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TABLE!$A$19:$A$26</c:f>
              <c:strCache>
                <c:ptCount val="7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Surat</c:v>
                </c:pt>
              </c:strCache>
            </c:strRef>
          </c:cat>
          <c:val>
            <c:numRef>
              <c:f>TABLE!$D$19:$D$26</c:f>
              <c:numCache>
                <c:formatCode>General</c:formatCode>
                <c:ptCount val="7"/>
                <c:pt idx="0">
                  <c:v>195000</c:v>
                </c:pt>
                <c:pt idx="1">
                  <c:v>413000</c:v>
                </c:pt>
                <c:pt idx="2">
                  <c:v>392000</c:v>
                </c:pt>
                <c:pt idx="3">
                  <c:v>459000</c:v>
                </c:pt>
                <c:pt idx="4">
                  <c:v>265000</c:v>
                </c:pt>
                <c:pt idx="5">
                  <c:v>363000</c:v>
                </c:pt>
                <c:pt idx="6">
                  <c:v>453000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2A1-4A8A-809A-A43690E317AD}"/>
            </c:ext>
          </c:extLst>
        </c:ser>
        <c:ser>
          <c:idx val="3"/>
          <c:order val="3"/>
          <c:tx>
            <c:strRef>
              <c:f>TABLE!$E$17:$E$18</c:f>
              <c:strCache>
                <c:ptCount val="1"/>
                <c:pt idx="0">
                  <c:v>Percent of Bonus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TABLE!$A$19:$A$26</c:f>
              <c:strCache>
                <c:ptCount val="7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Surat</c:v>
                </c:pt>
              </c:strCache>
            </c:strRef>
          </c:cat>
          <c:val>
            <c:numRef>
              <c:f>TABLE!$E$19:$E$26</c:f>
              <c:numCache>
                <c:formatCode>0.00%</c:formatCode>
                <c:ptCount val="7"/>
                <c:pt idx="0">
                  <c:v>7.6771653543307089E-2</c:v>
                </c:pt>
                <c:pt idx="1">
                  <c:v>0.16259842519685039</c:v>
                </c:pt>
                <c:pt idx="2">
                  <c:v>0.15433070866141732</c:v>
                </c:pt>
                <c:pt idx="3">
                  <c:v>0.18070866141732284</c:v>
                </c:pt>
                <c:pt idx="4">
                  <c:v>0.10433070866141732</c:v>
                </c:pt>
                <c:pt idx="5">
                  <c:v>0.14291338582677166</c:v>
                </c:pt>
                <c:pt idx="6">
                  <c:v>0.17834645669291338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2A1-4A8A-809A-A43690E31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1470464"/>
        <c:axId val="1301469984"/>
      </c:barChart>
      <c:catAx>
        <c:axId val="130147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469984"/>
        <c:crosses val="autoZero"/>
        <c:auto val="1"/>
        <c:lblAlgn val="ctr"/>
        <c:lblOffset val="100"/>
        <c:noMultiLvlLbl val="0"/>
      </c:catAx>
      <c:valAx>
        <c:axId val="130146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47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17</xdr:row>
      <xdr:rowOff>99060</xdr:rowOff>
    </xdr:from>
    <xdr:to>
      <xdr:col>10</xdr:col>
      <xdr:colOff>571500</xdr:colOff>
      <xdr:row>32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CFB79-6D39-BDC2-04F2-5C56ED6B6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15240</xdr:colOff>
      <xdr:row>26</xdr:row>
      <xdr:rowOff>30480</xdr:rowOff>
    </xdr:from>
    <xdr:to>
      <xdr:col>3</xdr:col>
      <xdr:colOff>654780</xdr:colOff>
      <xdr:row>32</xdr:row>
      <xdr:rowOff>45720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Join_Date">
              <a:extLst>
                <a:ext uri="{FF2B5EF4-FFF2-40B4-BE49-F238E27FC236}">
                  <a16:creationId xmlns:a16="http://schemas.microsoft.com/office/drawing/2014/main" id="{0F1A7312-9035-8C19-4445-574CC44513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Join_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" y="4968240"/>
              <a:ext cx="4320000" cy="1112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yush" refreshedDate="46069.628736342594" missingItemsLimit="0" createdVersion="8" refreshedVersion="8" minRefreshableVersion="3" recordCount="40" xr:uid="{F90CC236-9239-4B81-83E4-418517065895}">
  <cacheSource type="worksheet">
    <worksheetSource name="EMPLOYEE_DATA"/>
  </cacheSource>
  <cacheFields count="24">
    <cacheField name="Emp_ID" numFmtId="0">
      <sharedItems/>
    </cacheField>
    <cacheField name="First_Name" numFmtId="0">
      <sharedItems/>
    </cacheField>
    <cacheField name="Last_Nam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24" maxValue="42"/>
    </cacheField>
    <cacheField name="Department" numFmtId="0">
      <sharedItems count="6">
        <s v="IT"/>
        <s v="HR"/>
        <s v="Finance"/>
        <s v="Sales"/>
        <s v="Marketing"/>
        <s v="Operations"/>
      </sharedItems>
    </cacheField>
    <cacheField name="Job_Role" numFmtId="0">
      <sharedItems count="39">
        <s v="Data Analyst"/>
        <s v="HR Manager"/>
        <s v="Accountant"/>
        <s v="Sales Executive"/>
        <s v="Software Engineer"/>
        <s v="Marketing Analyst"/>
        <s v="Operations Manager"/>
        <s v="Data Engineer"/>
        <s v="Sales Manager"/>
        <s v="HR Executive"/>
        <s v="Financial Analyst"/>
        <s v="UI Designer"/>
        <s v="Supply Chain Manager"/>
        <s v="Brand Manager"/>
        <s v="Support Engineer"/>
        <s v="Senior Accountant"/>
        <s v="Digital Marketer"/>
        <s v="Logistics Head"/>
        <s v="QA Engineer"/>
        <s v="Backend Developer"/>
        <s v="Talent Acquisition Specialist"/>
        <s v="Finance Manager"/>
        <s v="Content Strategist"/>
        <s v="Regional Sales Manager"/>
        <s v="Frontend Developer"/>
        <s v="Plant Supervisor"/>
        <s v="Junior Accountant"/>
        <s v="Project Manager"/>
        <s v="Sales Coordinator"/>
        <s v="Operations Head"/>
        <s v="SEO Specialist"/>
        <s v="Cloud Engineer"/>
        <s v="HR Business Partner"/>
        <s v="Social Media Executive"/>
        <s v="Tax Consultant"/>
        <s v="Area Sales Executive"/>
        <s v="DevOps Engineer"/>
        <s v="Warehouse Manager"/>
        <s v="Marketing Manager"/>
      </sharedItems>
    </cacheField>
    <cacheField name="Location" numFmtId="0">
      <sharedItems count="7">
        <s v="Mumbai"/>
        <s v="Delhi"/>
        <s v="Bangalore"/>
        <s v="Hyderabad"/>
        <s v="Surat"/>
        <s v="Chennai"/>
        <s v="Kolkata"/>
      </sharedItems>
    </cacheField>
    <cacheField name="Join_Date" numFmtId="14">
      <sharedItems containsSemiMixedTypes="0" containsNonDate="0" containsDate="1" containsString="0" minDate="2011-05-16T00:00:00" maxDate="2023-04-13T00:00:00" count="40">
        <d v="2019-06-12T00:00:00"/>
        <d v="2017-03-20T00:00:00"/>
        <d v="2021-08-15T00:00:00"/>
        <d v="2016-02-11T00:00:00"/>
        <d v="2018-09-05T00:00:00"/>
        <d v="2020-01-10T00:00:00"/>
        <d v="2014-11-25T00:00:00"/>
        <d v="2022-04-18T00:00:00"/>
        <d v="2018-07-30T00:00:00"/>
        <d v="2023-02-01T00:00:00"/>
        <d v="2015-10-21T00:00:00"/>
        <d v="2019-12-05T00:00:00"/>
        <d v="2013-06-14T00:00:00"/>
        <d v="2017-09-09T00:00:00"/>
        <d v="2022-05-22T00:00:00"/>
        <d v="2014-04-18T00:00:00"/>
        <d v="2020-07-12T00:00:00"/>
        <d v="2018-03-03T00:00:00"/>
        <d v="2012-08-19T00:00:00"/>
        <d v="2021-11-11T00:00:00"/>
        <d v="2018-06-25T00:00:00"/>
        <d v="2020-09-14T00:00:00"/>
        <d v="2013-01-18T00:00:00"/>
        <d v="2021-03-09T00:00:00"/>
        <d v="2017-07-11T00:00:00"/>
        <d v="2019-10-22T00:00:00"/>
        <d v="2012-12-05T00:00:00"/>
        <d v="2022-01-17T00:00:00"/>
        <d v="2016-04-30T00:00:00"/>
        <d v="2021-08-08T00:00:00"/>
        <d v="2011-05-16T00:00:00"/>
        <d v="2018-02-19T00:00:00"/>
        <d v="2020-11-23T00:00:00"/>
        <d v="2015-09-27T00:00:00"/>
        <d v="2023-04-12T00:00:00"/>
        <d v="2014-06-06T00:00:00"/>
        <d v="2019-01-15T00:00:00"/>
        <d v="2021-06-29T00:00:00"/>
        <d v="2013-03-10T00:00:00"/>
        <d v="2017-12-21T00:00:00"/>
      </sharedItems>
      <fieldGroup par="23"/>
    </cacheField>
    <cacheField name="Experience_Years" numFmtId="0">
      <sharedItems containsSemiMixedTypes="0" containsString="0" containsNumber="1" containsInteger="1" minValue="1" maxValue="15"/>
    </cacheField>
    <cacheField name="Employment_Type" numFmtId="0">
      <sharedItems/>
    </cacheField>
    <cacheField name="Salary" numFmtId="0">
      <sharedItems containsSemiMixedTypes="0" containsString="0" containsNumber="1" containsInteger="1" minValue="300000" maxValue="3000000"/>
    </cacheField>
    <cacheField name="Bonus" numFmtId="0">
      <sharedItems containsSemiMixedTypes="0" containsString="0" containsNumber="1" containsInteger="1" minValue="10000" maxValue="130000"/>
    </cacheField>
    <cacheField name="Performance_Rating" numFmtId="0">
      <sharedItems containsSemiMixedTypes="0" containsString="0" containsNumber="1" containsInteger="1" minValue="3" maxValue="5"/>
    </cacheField>
    <cacheField name="Overtime_Hours" numFmtId="0">
      <sharedItems containsSemiMixedTypes="0" containsString="0" containsNumber="1" containsInteger="1" minValue="4" maxValue="22"/>
    </cacheField>
    <cacheField name="Training_Hours" numFmtId="0">
      <sharedItems containsSemiMixedTypes="0" containsString="0" containsNumber="1" containsInteger="1" minValue="12" maxValue="40"/>
    </cacheField>
    <cacheField name="Leave_Taken" numFmtId="0">
      <sharedItems containsSemiMixedTypes="0" containsString="0" containsNumber="1" containsInteger="1" minValue="2" maxValue="13"/>
    </cacheField>
    <cacheField name="Marital_Status" numFmtId="0">
      <sharedItems count="2">
        <s v="Single"/>
        <s v="Married"/>
      </sharedItems>
    </cacheField>
    <cacheField name="Education_Level" numFmtId="0">
      <sharedItems/>
    </cacheField>
    <cacheField name="Promotion_Last_Year" numFmtId="0">
      <sharedItems/>
    </cacheField>
    <cacheField name="Attrition" numFmtId="0">
      <sharedItems count="2">
        <s v="No"/>
        <s v="Yes"/>
      </sharedItems>
    </cacheField>
    <cacheField name="Days (Join_Date)" numFmtId="0" databaseField="0">
      <fieldGroup base="8">
        <rangePr groupBy="days" startDate="2011-05-16T00:00:00" endDate="2023-04-13T00:00:00"/>
        <groupItems count="368">
          <s v="&lt;16-05-201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3-04-2023"/>
        </groupItems>
      </fieldGroup>
    </cacheField>
    <cacheField name="Months (Join_Date)" numFmtId="0" databaseField="0">
      <fieldGroup base="8">
        <rangePr groupBy="months" startDate="2011-05-16T00:00:00" endDate="2023-04-13T00:00:00"/>
        <groupItems count="14">
          <s v="&lt;16-05-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04-2023"/>
        </groupItems>
      </fieldGroup>
    </cacheField>
    <cacheField name="Quarters (Join_Date)" numFmtId="0" databaseField="0">
      <fieldGroup base="8">
        <rangePr groupBy="quarters" startDate="2011-05-16T00:00:00" endDate="2023-04-13T00:00:00"/>
        <groupItems count="6">
          <s v="&lt;16-05-2011"/>
          <s v="Qtr1"/>
          <s v="Qtr2"/>
          <s v="Qtr3"/>
          <s v="Qtr4"/>
          <s v="&gt;13-04-2023"/>
        </groupItems>
      </fieldGroup>
    </cacheField>
  </cacheFields>
  <extLst>
    <ext xmlns:x14="http://schemas.microsoft.com/office/spreadsheetml/2009/9/main" uri="{725AE2AE-9491-48be-B2B4-4EB974FC3084}">
      <x14:pivotCacheDefinition pivotCacheId="20242981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E001"/>
    <s v="Rahul"/>
    <s v="Sharma"/>
    <s v="Male"/>
    <n v="29"/>
    <x v="0"/>
    <x v="0"/>
    <x v="0"/>
    <x v="0"/>
    <n v="4"/>
    <s v="Full-Time"/>
    <n v="3000000"/>
    <n v="50000"/>
    <n v="4"/>
    <n v="12"/>
    <n v="30"/>
    <n v="5"/>
    <x v="0"/>
    <s v="Graduate"/>
    <s v="No"/>
    <x v="0"/>
  </r>
  <r>
    <s v="E002"/>
    <s v="Priya"/>
    <s v="Verma"/>
    <s v="Female"/>
    <n v="32"/>
    <x v="1"/>
    <x v="1"/>
    <x v="1"/>
    <x v="1"/>
    <n v="7"/>
    <s v="Full-Time"/>
    <n v="850000"/>
    <n v="70000"/>
    <n v="5"/>
    <n v="5"/>
    <n v="25"/>
    <n v="7"/>
    <x v="1"/>
    <s v="Postgraduate"/>
    <s v="Yes"/>
    <x v="0"/>
  </r>
  <r>
    <s v="E003"/>
    <s v="Amit"/>
    <s v="Patel"/>
    <s v="Male"/>
    <n v="26"/>
    <x v="2"/>
    <x v="2"/>
    <x v="2"/>
    <x v="2"/>
    <n v="2"/>
    <s v="Full-Time"/>
    <n v="480000"/>
    <n v="30000"/>
    <n v="3"/>
    <n v="8"/>
    <n v="15"/>
    <n v="4"/>
    <x v="0"/>
    <s v="Graduate"/>
    <s v="No"/>
    <x v="0"/>
  </r>
  <r>
    <s v="E004"/>
    <s v="Neha"/>
    <s v="Singh"/>
    <s v="Female"/>
    <n v="35"/>
    <x v="3"/>
    <x v="3"/>
    <x v="3"/>
    <x v="3"/>
    <n v="9"/>
    <s v="Full-Time"/>
    <n v="720000"/>
    <n v="90000"/>
    <n v="4"/>
    <n v="20"/>
    <n v="18"/>
    <n v="10"/>
    <x v="1"/>
    <s v="Graduate"/>
    <s v="Yes"/>
    <x v="0"/>
  </r>
  <r>
    <s v="E005"/>
    <s v="Arjun"/>
    <s v="Kumar"/>
    <s v="Male"/>
    <n v="30"/>
    <x v="0"/>
    <x v="4"/>
    <x v="4"/>
    <x v="4"/>
    <n v="5"/>
    <s v="Full-Time"/>
    <n v="780000"/>
    <n v="60000"/>
    <n v="4"/>
    <n v="15"/>
    <n v="40"/>
    <n v="6"/>
    <x v="1"/>
    <s v="Graduate"/>
    <s v="No"/>
    <x v="0"/>
  </r>
  <r>
    <s v="E006"/>
    <s v="Simran"/>
    <s v="Kaur"/>
    <s v="Female"/>
    <n v="28"/>
    <x v="4"/>
    <x v="5"/>
    <x v="5"/>
    <x v="5"/>
    <n v="3"/>
    <s v="Full-Time"/>
    <n v="540000"/>
    <n v="35000"/>
    <n v="3"/>
    <n v="10"/>
    <n v="22"/>
    <n v="8"/>
    <x v="0"/>
    <s v="Graduate"/>
    <s v="No"/>
    <x v="1"/>
  </r>
  <r>
    <s v="E007"/>
    <s v="Rohit"/>
    <s v="Yadav"/>
    <s v="Male"/>
    <n v="40"/>
    <x v="5"/>
    <x v="6"/>
    <x v="6"/>
    <x v="6"/>
    <n v="12"/>
    <s v="Full-Time"/>
    <n v="950000"/>
    <n v="80000"/>
    <n v="5"/>
    <n v="6"/>
    <n v="20"/>
    <n v="12"/>
    <x v="1"/>
    <s v="Postgraduate"/>
    <s v="Yes"/>
    <x v="0"/>
  </r>
  <r>
    <s v="E008"/>
    <s v="Anjali"/>
    <s v="Mehta"/>
    <s v="Female"/>
    <n v="27"/>
    <x v="0"/>
    <x v="7"/>
    <x v="0"/>
    <x v="7"/>
    <n v="1"/>
    <s v="Contract"/>
    <n v="600000"/>
    <n v="25000"/>
    <n v="4"/>
    <n v="18"/>
    <n v="35"/>
    <n v="3"/>
    <x v="0"/>
    <s v="Graduate"/>
    <s v="No"/>
    <x v="0"/>
  </r>
  <r>
    <s v="E009"/>
    <s v="Karan"/>
    <s v="Malhotra"/>
    <s v="Male"/>
    <n v="31"/>
    <x v="3"/>
    <x v="8"/>
    <x v="1"/>
    <x v="8"/>
    <n v="5"/>
    <s v="Full-Time"/>
    <n v="880000"/>
    <n v="100000"/>
    <n v="5"/>
    <n v="22"/>
    <n v="16"/>
    <n v="9"/>
    <x v="1"/>
    <s v="MBA"/>
    <s v="Yes"/>
    <x v="0"/>
  </r>
  <r>
    <s v="E010"/>
    <s v="Pooja"/>
    <s v="Reddy"/>
    <s v="Female"/>
    <n v="24"/>
    <x v="1"/>
    <x v="9"/>
    <x v="2"/>
    <x v="9"/>
    <n v="1"/>
    <s v="Intern"/>
    <n v="300000"/>
    <n v="10000"/>
    <n v="3"/>
    <n v="4"/>
    <n v="12"/>
    <n v="2"/>
    <x v="0"/>
    <s v="Graduate"/>
    <s v="No"/>
    <x v="1"/>
  </r>
  <r>
    <s v="E011"/>
    <s v="Vikram"/>
    <s v="Joshi"/>
    <s v="Male"/>
    <n v="34"/>
    <x v="2"/>
    <x v="10"/>
    <x v="4"/>
    <x v="10"/>
    <n v="8"/>
    <s v="Full-Time"/>
    <n v="820000"/>
    <n v="75000"/>
    <n v="4"/>
    <n v="9"/>
    <n v="28"/>
    <n v="7"/>
    <x v="1"/>
    <s v="Postgraduate"/>
    <s v="Yes"/>
    <x v="0"/>
  </r>
  <r>
    <s v="E012"/>
    <s v="Divya"/>
    <s v="Nair"/>
    <s v="Female"/>
    <n v="29"/>
    <x v="0"/>
    <x v="11"/>
    <x v="5"/>
    <x v="11"/>
    <n v="4"/>
    <s v="Full-Time"/>
    <n v="620000"/>
    <n v="45000"/>
    <n v="4"/>
    <n v="14"/>
    <n v="26"/>
    <n v="5"/>
    <x v="0"/>
    <s v="Graduate"/>
    <s v="No"/>
    <x v="0"/>
  </r>
  <r>
    <s v="E013"/>
    <s v="Manish"/>
    <s v="Agarwal"/>
    <s v="Male"/>
    <n v="38"/>
    <x v="5"/>
    <x v="12"/>
    <x v="3"/>
    <x v="12"/>
    <n v="13"/>
    <s v="Full-Time"/>
    <n v="990000"/>
    <n v="85000"/>
    <n v="5"/>
    <n v="11"/>
    <n v="19"/>
    <n v="11"/>
    <x v="1"/>
    <s v="MBA"/>
    <s v="Yes"/>
    <x v="0"/>
  </r>
  <r>
    <s v="E014"/>
    <s v="Sneha"/>
    <s v="Kapoor"/>
    <s v="Female"/>
    <n v="33"/>
    <x v="4"/>
    <x v="13"/>
    <x v="0"/>
    <x v="13"/>
    <n v="6"/>
    <s v="Full-Time"/>
    <n v="870000"/>
    <n v="78000"/>
    <n v="5"/>
    <n v="13"/>
    <n v="30"/>
    <n v="8"/>
    <x v="1"/>
    <s v="Postgraduate"/>
    <s v="Yes"/>
    <x v="0"/>
  </r>
  <r>
    <s v="E015"/>
    <s v="Akash"/>
    <s v="Gupta"/>
    <s v="Male"/>
    <n v="25"/>
    <x v="0"/>
    <x v="14"/>
    <x v="1"/>
    <x v="14"/>
    <n v="1"/>
    <s v="Full-Time"/>
    <n v="500000"/>
    <n v="20000"/>
    <n v="3"/>
    <n v="17"/>
    <n v="21"/>
    <n v="4"/>
    <x v="0"/>
    <s v="Graduate"/>
    <s v="No"/>
    <x v="1"/>
  </r>
  <r>
    <s v="E016"/>
    <s v="Ritu"/>
    <s v="Saxena"/>
    <s v="Female"/>
    <n v="37"/>
    <x v="2"/>
    <x v="15"/>
    <x v="6"/>
    <x v="15"/>
    <n v="11"/>
    <s v="Full-Time"/>
    <n v="910000"/>
    <n v="88000"/>
    <n v="5"/>
    <n v="6"/>
    <n v="24"/>
    <n v="9"/>
    <x v="1"/>
    <s v="Postgraduate"/>
    <s v="Yes"/>
    <x v="0"/>
  </r>
  <r>
    <s v="E017"/>
    <s v="Sachin"/>
    <s v="Thakur"/>
    <s v="Male"/>
    <n v="28"/>
    <x v="3"/>
    <x v="3"/>
    <x v="4"/>
    <x v="16"/>
    <n v="3"/>
    <s v="Full-Time"/>
    <n v="680000"/>
    <n v="72000"/>
    <n v="4"/>
    <n v="19"/>
    <n v="15"/>
    <n v="6"/>
    <x v="0"/>
    <s v="Graduate"/>
    <s v="No"/>
    <x v="0"/>
  </r>
  <r>
    <s v="E018"/>
    <s v="Tanya"/>
    <s v="Bhatia"/>
    <s v="Female"/>
    <n v="30"/>
    <x v="4"/>
    <x v="16"/>
    <x v="2"/>
    <x v="17"/>
    <n v="5"/>
    <s v="Full-Time"/>
    <n v="750000"/>
    <n v="65000"/>
    <n v="4"/>
    <n v="16"/>
    <n v="27"/>
    <n v="7"/>
    <x v="1"/>
    <s v="Graduate"/>
    <s v="No"/>
    <x v="0"/>
  </r>
  <r>
    <s v="E019"/>
    <s v="Nikhil"/>
    <s v="Chopra"/>
    <s v="Male"/>
    <n v="36"/>
    <x v="5"/>
    <x v="17"/>
    <x v="5"/>
    <x v="18"/>
    <n v="14"/>
    <s v="Full-Time"/>
    <n v="1020000"/>
    <n v="95000"/>
    <n v="5"/>
    <n v="7"/>
    <n v="18"/>
    <n v="10"/>
    <x v="1"/>
    <s v="MBA"/>
    <s v="Yes"/>
    <x v="0"/>
  </r>
  <r>
    <s v="E020"/>
    <s v="Meera"/>
    <s v="Iyer"/>
    <s v="Female"/>
    <n v="27"/>
    <x v="0"/>
    <x v="18"/>
    <x v="3"/>
    <x v="19"/>
    <n v="2"/>
    <s v="Full-Time"/>
    <n v="610000"/>
    <n v="32000"/>
    <n v="4"/>
    <n v="12"/>
    <n v="23"/>
    <n v="5"/>
    <x v="0"/>
    <s v="Graduate"/>
    <s v="No"/>
    <x v="0"/>
  </r>
  <r>
    <s v="E021"/>
    <s v="Harsh"/>
    <s v="Tripathi"/>
    <s v="Male"/>
    <n v="31"/>
    <x v="0"/>
    <x v="19"/>
    <x v="2"/>
    <x v="20"/>
    <n v="6"/>
    <s v="Full-Time"/>
    <n v="820000"/>
    <n v="55000"/>
    <n v="4"/>
    <n v="14"/>
    <n v="32"/>
    <n v="6"/>
    <x v="1"/>
    <s v="Graduate"/>
    <s v="No"/>
    <x v="0"/>
  </r>
  <r>
    <s v="E022"/>
    <s v="Shreya"/>
    <s v="Mishra"/>
    <s v="Female"/>
    <n v="29"/>
    <x v="1"/>
    <x v="20"/>
    <x v="0"/>
    <x v="21"/>
    <n v="4"/>
    <s v="Full-Time"/>
    <n v="610000"/>
    <n v="30000"/>
    <n v="4"/>
    <n v="6"/>
    <n v="20"/>
    <n v="5"/>
    <x v="0"/>
    <s v="Postgraduate"/>
    <s v="No"/>
    <x v="0"/>
  </r>
  <r>
    <s v="E023"/>
    <s v="Deepak"/>
    <s v="Shah"/>
    <s v="Male"/>
    <n v="42"/>
    <x v="2"/>
    <x v="21"/>
    <x v="1"/>
    <x v="22"/>
    <n v="15"/>
    <s v="Full-Time"/>
    <n v="1150000"/>
    <n v="120000"/>
    <n v="5"/>
    <n v="8"/>
    <n v="18"/>
    <n v="12"/>
    <x v="1"/>
    <s v="MBA"/>
    <s v="Yes"/>
    <x v="0"/>
  </r>
  <r>
    <s v="E024"/>
    <s v="Ishita"/>
    <s v="Ghosh"/>
    <s v="Female"/>
    <n v="26"/>
    <x v="4"/>
    <x v="22"/>
    <x v="6"/>
    <x v="23"/>
    <n v="3"/>
    <s v="Full-Time"/>
    <n v="520000"/>
    <n v="25000"/>
    <n v="3"/>
    <n v="11"/>
    <n v="28"/>
    <n v="4"/>
    <x v="0"/>
    <s v="Graduate"/>
    <s v="No"/>
    <x v="1"/>
  </r>
  <r>
    <s v="E025"/>
    <s v="Varun"/>
    <s v="Sethi"/>
    <s v="Male"/>
    <n v="33"/>
    <x v="3"/>
    <x v="23"/>
    <x v="3"/>
    <x v="24"/>
    <n v="8"/>
    <s v="Full-Time"/>
    <n v="930000"/>
    <n v="110000"/>
    <n v="5"/>
    <n v="21"/>
    <n v="16"/>
    <n v="8"/>
    <x v="1"/>
    <s v="MBA"/>
    <s v="Yes"/>
    <x v="0"/>
  </r>
  <r>
    <s v="E026"/>
    <s v="Kritika"/>
    <s v="Arora"/>
    <s v="Female"/>
    <n v="30"/>
    <x v="0"/>
    <x v="24"/>
    <x v="4"/>
    <x v="25"/>
    <n v="5"/>
    <s v="Full-Time"/>
    <n v="760000"/>
    <n v="48000"/>
    <n v="4"/>
    <n v="13"/>
    <n v="35"/>
    <n v="6"/>
    <x v="1"/>
    <s v="Graduate"/>
    <s v="No"/>
    <x v="0"/>
  </r>
  <r>
    <s v="E027"/>
    <s v="Sandeep"/>
    <s v="Rao"/>
    <s v="Male"/>
    <n v="39"/>
    <x v="5"/>
    <x v="25"/>
    <x v="5"/>
    <x v="26"/>
    <n v="13"/>
    <s v="Full-Time"/>
    <n v="980000"/>
    <n v="90000"/>
    <n v="5"/>
    <n v="7"/>
    <n v="19"/>
    <n v="11"/>
    <x v="1"/>
    <s v="Graduate"/>
    <s v="Yes"/>
    <x v="0"/>
  </r>
  <r>
    <s v="E028"/>
    <s v="Naina"/>
    <s v="Chaudhary"/>
    <s v="Female"/>
    <n v="28"/>
    <x v="2"/>
    <x v="26"/>
    <x v="2"/>
    <x v="27"/>
    <n v="2"/>
    <s v="Full-Time"/>
    <n v="470000"/>
    <n v="20000"/>
    <n v="3"/>
    <n v="9"/>
    <n v="22"/>
    <n v="5"/>
    <x v="0"/>
    <s v="Graduate"/>
    <s v="No"/>
    <x v="0"/>
  </r>
  <r>
    <s v="E029"/>
    <s v="Aditya"/>
    <s v="Banerjee"/>
    <s v="Male"/>
    <n v="35"/>
    <x v="0"/>
    <x v="27"/>
    <x v="0"/>
    <x v="28"/>
    <n v="9"/>
    <s v="Full-Time"/>
    <n v="1050000"/>
    <n v="95000"/>
    <n v="5"/>
    <n v="10"/>
    <n v="40"/>
    <n v="9"/>
    <x v="1"/>
    <s v="MBA"/>
    <s v="Yes"/>
    <x v="0"/>
  </r>
  <r>
    <s v="E030"/>
    <s v="Komal"/>
    <s v="Jain"/>
    <s v="Female"/>
    <n v="27"/>
    <x v="3"/>
    <x v="28"/>
    <x v="1"/>
    <x v="29"/>
    <n v="3"/>
    <s v="Full-Time"/>
    <n v="580000"/>
    <n v="42000"/>
    <n v="4"/>
    <n v="18"/>
    <n v="17"/>
    <n v="6"/>
    <x v="0"/>
    <s v="Graduate"/>
    <s v="No"/>
    <x v="1"/>
  </r>
  <r>
    <s v="E031"/>
    <s v="Prakash"/>
    <s v="Pillai"/>
    <s v="Male"/>
    <n v="41"/>
    <x v="5"/>
    <x v="29"/>
    <x v="4"/>
    <x v="30"/>
    <n v="15"/>
    <s v="Full-Time"/>
    <n v="1200000"/>
    <n v="130000"/>
    <n v="5"/>
    <n v="6"/>
    <n v="15"/>
    <n v="13"/>
    <x v="1"/>
    <s v="Postgraduate"/>
    <s v="Yes"/>
    <x v="0"/>
  </r>
  <r>
    <s v="E032"/>
    <s v="Aarti"/>
    <s v="Deshmukh"/>
    <s v="Female"/>
    <n v="32"/>
    <x v="4"/>
    <x v="30"/>
    <x v="3"/>
    <x v="31"/>
    <n v="7"/>
    <s v="Full-Time"/>
    <n v="690000"/>
    <n v="50000"/>
    <n v="4"/>
    <n v="15"/>
    <n v="30"/>
    <n v="7"/>
    <x v="1"/>
    <s v="Graduate"/>
    <s v="No"/>
    <x v="0"/>
  </r>
  <r>
    <s v="E033"/>
    <s v="Manav"/>
    <s v="Khanna"/>
    <s v="Male"/>
    <n v="29"/>
    <x v="0"/>
    <x v="31"/>
    <x v="5"/>
    <x v="32"/>
    <n v="4"/>
    <s v="Full-Time"/>
    <n v="830000"/>
    <n v="60000"/>
    <n v="4"/>
    <n v="16"/>
    <n v="36"/>
    <n v="5"/>
    <x v="0"/>
    <s v="Graduate"/>
    <s v="No"/>
    <x v="0"/>
  </r>
  <r>
    <s v="E034"/>
    <s v="Radhika"/>
    <s v="Singhal"/>
    <s v="Female"/>
    <n v="34"/>
    <x v="1"/>
    <x v="32"/>
    <x v="6"/>
    <x v="33"/>
    <n v="9"/>
    <s v="Full-Time"/>
    <n v="880000"/>
    <n v="72000"/>
    <n v="5"/>
    <n v="5"/>
    <n v="24"/>
    <n v="8"/>
    <x v="1"/>
    <s v="Postgraduate"/>
    <s v="Yes"/>
    <x v="0"/>
  </r>
  <r>
    <s v="E035"/>
    <s v="Kunal"/>
    <s v="Bhardwaj"/>
    <s v="Male"/>
    <n v="25"/>
    <x v="4"/>
    <x v="33"/>
    <x v="2"/>
    <x v="34"/>
    <n v="1"/>
    <s v="Intern"/>
    <n v="320000"/>
    <n v="15000"/>
    <n v="3"/>
    <n v="12"/>
    <n v="18"/>
    <n v="3"/>
    <x v="0"/>
    <s v="Graduate"/>
    <s v="No"/>
    <x v="1"/>
  </r>
  <r>
    <s v="E036"/>
    <s v="Payal"/>
    <s v="Saxena"/>
    <s v="Female"/>
    <n v="37"/>
    <x v="2"/>
    <x v="34"/>
    <x v="0"/>
    <x v="35"/>
    <n v="11"/>
    <s v="Full-Time"/>
    <n v="970000"/>
    <n v="85000"/>
    <n v="5"/>
    <n v="7"/>
    <n v="21"/>
    <n v="10"/>
    <x v="1"/>
    <s v="MBA"/>
    <s v="Yes"/>
    <x v="0"/>
  </r>
  <r>
    <s v="E037"/>
    <s v="Abhishek"/>
    <s v="Tiwari"/>
    <s v="Male"/>
    <n v="30"/>
    <x v="3"/>
    <x v="35"/>
    <x v="4"/>
    <x v="36"/>
    <n v="5"/>
    <s v="Full-Time"/>
    <n v="720000"/>
    <n v="68000"/>
    <n v="4"/>
    <n v="20"/>
    <n v="19"/>
    <n v="6"/>
    <x v="1"/>
    <s v="Graduate"/>
    <s v="No"/>
    <x v="0"/>
  </r>
  <r>
    <s v="E038"/>
    <s v="Sonali"/>
    <s v="Patankar"/>
    <s v="Female"/>
    <n v="28"/>
    <x v="0"/>
    <x v="36"/>
    <x v="1"/>
    <x v="37"/>
    <n v="3"/>
    <s v="Contract"/>
    <n v="750000"/>
    <n v="40000"/>
    <n v="4"/>
    <n v="17"/>
    <n v="33"/>
    <n v="5"/>
    <x v="0"/>
    <s v="Graduate"/>
    <s v="No"/>
    <x v="0"/>
  </r>
  <r>
    <s v="E039"/>
    <s v="Gaurav"/>
    <s v="Srivastava"/>
    <s v="Male"/>
    <n v="36"/>
    <x v="5"/>
    <x v="37"/>
    <x v="3"/>
    <x v="38"/>
    <n v="12"/>
    <s v="Full-Time"/>
    <n v="990000"/>
    <n v="92000"/>
    <n v="5"/>
    <n v="9"/>
    <n v="16"/>
    <n v="11"/>
    <x v="1"/>
    <s v="Graduate"/>
    <s v="Yes"/>
    <x v="0"/>
  </r>
  <r>
    <s v="E040"/>
    <s v="Megha"/>
    <s v="Thomas"/>
    <s v="Female"/>
    <n v="31"/>
    <x v="4"/>
    <x v="38"/>
    <x v="5"/>
    <x v="39"/>
    <n v="8"/>
    <s v="Full-Time"/>
    <n v="910000"/>
    <n v="88000"/>
    <n v="5"/>
    <n v="14"/>
    <n v="29"/>
    <n v="7"/>
    <x v="1"/>
    <s v="MBA"/>
    <s v="Yes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0CE2F6-338E-47C9-B4A3-D811024A2C4F}" name="PivotTable6" cacheId="4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outline="1" outlineData="1" compactData="0" multipleFieldFilters="0" chartFormat="1">
  <location ref="A88:F96" firstHeaderRow="0" firstDataRow="1" firstDataCol="2"/>
  <pivotFields count="24">
    <pivotField compact="0" showAll="0"/>
    <pivotField compact="0" showAll="0"/>
    <pivotField compact="0" showAll="0"/>
    <pivotField compact="0" showAll="0"/>
    <pivotField compact="0" showAll="0"/>
    <pivotField compact="0" showAll="0">
      <items count="7">
        <item x="3"/>
        <item x="2"/>
        <item x="1"/>
        <item x="0"/>
        <item x="4"/>
        <item x="5"/>
        <item t="default"/>
      </items>
    </pivotField>
    <pivotField axis="axisRow" compact="0" showAll="0">
      <items count="40">
        <item x="2"/>
        <item x="35"/>
        <item x="19"/>
        <item x="13"/>
        <item x="31"/>
        <item x="22"/>
        <item x="0"/>
        <item x="7"/>
        <item x="36"/>
        <item x="16"/>
        <item x="21"/>
        <item x="10"/>
        <item x="24"/>
        <item x="32"/>
        <item x="9"/>
        <item x="1"/>
        <item x="26"/>
        <item x="17"/>
        <item x="5"/>
        <item x="38"/>
        <item x="29"/>
        <item x="6"/>
        <item x="25"/>
        <item x="27"/>
        <item x="18"/>
        <item x="23"/>
        <item x="28"/>
        <item x="3"/>
        <item x="8"/>
        <item x="15"/>
        <item x="30"/>
        <item x="33"/>
        <item x="4"/>
        <item x="12"/>
        <item x="14"/>
        <item x="20"/>
        <item x="34"/>
        <item x="11"/>
        <item x="37"/>
        <item t="default"/>
      </items>
    </pivotField>
    <pivotField axis="axisRow" compact="0" showAll="0">
      <items count="8">
        <item sd="0" x="2"/>
        <item sd="0" x="5"/>
        <item sd="0" x="1"/>
        <item sd="0" x="3"/>
        <item sd="0" x="6"/>
        <item sd="0" x="0"/>
        <item sd="0" x="4"/>
        <item t="default"/>
      </items>
    </pivotField>
    <pivotField compact="0" numFmtId="14" showAll="0">
      <items count="41">
        <item x="30"/>
        <item x="18"/>
        <item x="26"/>
        <item x="22"/>
        <item x="38"/>
        <item x="12"/>
        <item x="15"/>
        <item x="35"/>
        <item x="6"/>
        <item x="33"/>
        <item x="10"/>
        <item x="3"/>
        <item x="28"/>
        <item x="1"/>
        <item x="24"/>
        <item x="13"/>
        <item x="39"/>
        <item x="31"/>
        <item x="17"/>
        <item x="20"/>
        <item x="8"/>
        <item x="4"/>
        <item x="36"/>
        <item x="0"/>
        <item x="25"/>
        <item x="11"/>
        <item x="5"/>
        <item x="16"/>
        <item x="21"/>
        <item x="32"/>
        <item x="23"/>
        <item x="37"/>
        <item x="29"/>
        <item x="2"/>
        <item x="19"/>
        <item x="27"/>
        <item x="7"/>
        <item x="14"/>
        <item x="9"/>
        <item x="34"/>
        <item t="default"/>
      </items>
    </pivotField>
    <pivotField compact="0" showAll="0"/>
    <pivotField compact="0" showAll="0"/>
    <pivotField dataField="1"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>
      <items count="3">
        <item x="1"/>
        <item x="0"/>
        <item t="default"/>
      </items>
    </pivotField>
    <pivotField compact="0" showAll="0"/>
    <pivotField compact="0" showAll="0"/>
    <pivotField compact="0" showAll="0">
      <items count="3">
        <item x="0"/>
        <item x="1"/>
        <item t="default"/>
      </items>
    </pivotField>
    <pivotField compact="0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compact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2">
    <field x="7"/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ary" fld="11" baseField="0" baseItem="0"/>
    <dataField name="% of Salary" fld="11" showDataAs="percentOfCol" baseField="0" baseItem="0" numFmtId="10"/>
    <dataField name="Sum of Bonus" fld="12" baseField="0" baseItem="0"/>
    <dataField name="% of Bonus" fld="12" showDataAs="percentOfTotal" baseField="6" baseItem="0" numFmtId="10"/>
  </dataFields>
  <formats count="5">
    <format dxfId="79">
      <pivotArea type="all" dataOnly="0" outline="0" fieldPosition="0"/>
    </format>
    <format dxfId="80">
      <pivotArea field="7" type="button" dataOnly="0" labelOnly="1" outline="0" axis="axisRow" fieldPosition="0"/>
    </format>
    <format dxfId="81">
      <pivotArea dataOnly="0" labelOnly="1" grandRow="1" outline="0" fieldPosition="0"/>
    </format>
    <format dxfId="62">
      <pivotArea outline="0" fieldPosition="0">
        <references count="1">
          <reference field="4294967294" count="1">
            <x v="3"/>
          </reference>
        </references>
      </pivotArea>
    </format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4854F-CBB6-407E-890B-B8498F32069E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35:M83" firstHeaderRow="0" firstDataRow="1" firstDataCol="2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0">
        <item x="2"/>
        <item x="35"/>
        <item x="19"/>
        <item x="13"/>
        <item x="31"/>
        <item x="22"/>
        <item x="0"/>
        <item x="7"/>
        <item x="36"/>
        <item x="16"/>
        <item x="21"/>
        <item x="10"/>
        <item x="24"/>
        <item x="32"/>
        <item x="9"/>
        <item x="1"/>
        <item x="26"/>
        <item x="17"/>
        <item x="5"/>
        <item x="38"/>
        <item x="29"/>
        <item x="6"/>
        <item x="25"/>
        <item x="27"/>
        <item x="18"/>
        <item x="23"/>
        <item x="28"/>
        <item x="3"/>
        <item x="8"/>
        <item x="15"/>
        <item x="30"/>
        <item x="33"/>
        <item x="4"/>
        <item x="12"/>
        <item x="14"/>
        <item x="20"/>
        <item x="34"/>
        <item x="11"/>
        <item x="37"/>
        <item t="default"/>
      </items>
    </pivotField>
    <pivotField axis="axisRow" compact="0" outline="0" showAll="0">
      <items count="8">
        <item x="2"/>
        <item x="5"/>
        <item x="1"/>
        <item x="3"/>
        <item x="6"/>
        <item x="0"/>
        <item x="4"/>
        <item t="default"/>
      </items>
    </pivotField>
    <pivotField compact="0" numFmtId="14" outline="0" showAll="0">
      <items count="41">
        <item x="30"/>
        <item x="18"/>
        <item x="26"/>
        <item x="22"/>
        <item x="38"/>
        <item x="12"/>
        <item x="15"/>
        <item x="35"/>
        <item x="6"/>
        <item x="33"/>
        <item x="10"/>
        <item x="3"/>
        <item x="28"/>
        <item x="1"/>
        <item x="24"/>
        <item x="13"/>
        <item x="39"/>
        <item x="31"/>
        <item x="17"/>
        <item x="20"/>
        <item x="8"/>
        <item x="4"/>
        <item x="36"/>
        <item x="0"/>
        <item x="25"/>
        <item x="11"/>
        <item x="5"/>
        <item x="16"/>
        <item x="21"/>
        <item x="32"/>
        <item x="23"/>
        <item x="37"/>
        <item x="29"/>
        <item x="2"/>
        <item x="19"/>
        <item x="27"/>
        <item x="7"/>
        <item x="14"/>
        <item x="9"/>
        <item x="34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2">
    <field x="7"/>
    <field x="6"/>
  </rowFields>
  <rowItems count="48">
    <i>
      <x/>
      <x/>
    </i>
    <i r="1">
      <x v="2"/>
    </i>
    <i r="1">
      <x v="9"/>
    </i>
    <i r="1">
      <x v="14"/>
    </i>
    <i r="1">
      <x v="16"/>
    </i>
    <i r="1">
      <x v="31"/>
    </i>
    <i t="default">
      <x/>
    </i>
    <i>
      <x v="1"/>
      <x v="4"/>
    </i>
    <i r="1">
      <x v="17"/>
    </i>
    <i r="1">
      <x v="18"/>
    </i>
    <i r="1">
      <x v="19"/>
    </i>
    <i r="1">
      <x v="22"/>
    </i>
    <i r="1">
      <x v="37"/>
    </i>
    <i t="default">
      <x v="1"/>
    </i>
    <i>
      <x v="2"/>
      <x v="8"/>
    </i>
    <i r="1">
      <x v="10"/>
    </i>
    <i r="1">
      <x v="15"/>
    </i>
    <i r="1">
      <x v="26"/>
    </i>
    <i r="1">
      <x v="28"/>
    </i>
    <i r="1">
      <x v="34"/>
    </i>
    <i t="default">
      <x v="2"/>
    </i>
    <i>
      <x v="3"/>
      <x v="24"/>
    </i>
    <i r="1">
      <x v="25"/>
    </i>
    <i r="1">
      <x v="27"/>
    </i>
    <i r="1">
      <x v="30"/>
    </i>
    <i r="1">
      <x v="33"/>
    </i>
    <i r="1">
      <x v="38"/>
    </i>
    <i t="default">
      <x v="3"/>
    </i>
    <i>
      <x v="4"/>
      <x v="5"/>
    </i>
    <i r="1">
      <x v="13"/>
    </i>
    <i r="1">
      <x v="21"/>
    </i>
    <i r="1">
      <x v="29"/>
    </i>
    <i t="default">
      <x v="4"/>
    </i>
    <i>
      <x v="5"/>
      <x v="3"/>
    </i>
    <i r="1">
      <x v="6"/>
    </i>
    <i r="1">
      <x v="7"/>
    </i>
    <i r="1">
      <x v="23"/>
    </i>
    <i r="1">
      <x v="35"/>
    </i>
    <i r="1">
      <x v="36"/>
    </i>
    <i t="default">
      <x v="5"/>
    </i>
    <i>
      <x v="6"/>
      <x v="1"/>
    </i>
    <i r="1">
      <x v="11"/>
    </i>
    <i r="1">
      <x v="12"/>
    </i>
    <i r="1">
      <x v="20"/>
    </i>
    <i r="1">
      <x v="27"/>
    </i>
    <i r="1">
      <x v="32"/>
    </i>
    <i t="default"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Salary" fld="11" baseField="0" baseItem="0"/>
    <dataField name="% of Total Salary" fld="11" baseField="7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  <dataField name="Total Bonus" fld="12" baseField="0" baseItem="0"/>
    <dataField name="% of Total Bonus" fld="12" baseField="7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A2D6B-0703-4062-85BE-3E353EC81A43}" name="PivotTable4" cacheId="4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">
  <location ref="A36:E44" firstHeaderRow="0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5"/>
        <item x="1"/>
        <item x="3"/>
        <item x="6"/>
        <item x="0"/>
        <item x="4"/>
        <item t="default"/>
      </items>
    </pivotField>
    <pivotField numFmtId="14" showAll="0">
      <items count="41">
        <item x="30"/>
        <item x="18"/>
        <item x="26"/>
        <item x="22"/>
        <item x="38"/>
        <item x="12"/>
        <item x="15"/>
        <item x="35"/>
        <item x="6"/>
        <item x="33"/>
        <item x="10"/>
        <item x="3"/>
        <item x="28"/>
        <item x="1"/>
        <item x="24"/>
        <item x="13"/>
        <item x="39"/>
        <item x="31"/>
        <item x="17"/>
        <item x="20"/>
        <item x="8"/>
        <item x="4"/>
        <item x="36"/>
        <item x="0"/>
        <item x="25"/>
        <item x="11"/>
        <item x="5"/>
        <item x="16"/>
        <item x="21"/>
        <item x="32"/>
        <item x="23"/>
        <item x="37"/>
        <item x="29"/>
        <item x="2"/>
        <item x="19"/>
        <item x="27"/>
        <item x="7"/>
        <item x="14"/>
        <item x="9"/>
        <item x="34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Salary" fld="11" baseField="0" baseItem="0"/>
    <dataField name="Percent of Total" fld="11" showDataAs="percentOfTotal" baseField="7" baseItem="0" numFmtId="10"/>
    <dataField name="Total Bonus" fld="12" baseField="0" baseItem="0"/>
    <dataField name="Percent of Bonus" fld="12" showDataAs="percentOfTotal" baseField="0" baseItem="0" numFmtId="10"/>
  </dataFields>
  <formats count="6">
    <format dxfId="274">
      <pivotArea type="all" dataOnly="0" outline="0" fieldPosition="0"/>
    </format>
    <format dxfId="273">
      <pivotArea outline="0" collapsedLevelsAreSubtotals="1" fieldPosition="0"/>
    </format>
    <format dxfId="272">
      <pivotArea field="7" type="button" dataOnly="0" labelOnly="1" outline="0" axis="axisRow" fieldPosition="0"/>
    </format>
    <format dxfId="271">
      <pivotArea dataOnly="0" labelOnly="1" fieldPosition="0">
        <references count="1">
          <reference field="7" count="0"/>
        </references>
      </pivotArea>
    </format>
    <format dxfId="270">
      <pivotArea dataOnly="0" labelOnly="1" grandRow="1" outline="0" fieldPosition="0"/>
    </format>
    <format dxfId="26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5C3EEF-28F5-4DFE-9928-1D40E5E19976}" name="PivotTable3" cacheId="4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compactData="0" gridDropZones="1" multipleFieldFilters="0" chartFormat="1">
  <location ref="A17:E26" firstHeaderRow="1" firstDataRow="2" firstDataCol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2"/>
        <item x="5"/>
        <item x="1"/>
        <item x="3"/>
        <item x="6"/>
        <item x="0"/>
        <item x="4"/>
        <item t="default"/>
      </items>
    </pivotField>
    <pivotField compact="0" numFmtId="14" outline="0" showAll="0">
      <items count="41">
        <item x="30"/>
        <item x="18"/>
        <item x="26"/>
        <item x="22"/>
        <item x="38"/>
        <item x="12"/>
        <item x="15"/>
        <item x="35"/>
        <item x="6"/>
        <item x="33"/>
        <item x="10"/>
        <item x="3"/>
        <item x="28"/>
        <item x="1"/>
        <item x="24"/>
        <item x="13"/>
        <item x="39"/>
        <item x="31"/>
        <item x="17"/>
        <item x="20"/>
        <item x="8"/>
        <item x="4"/>
        <item x="36"/>
        <item x="0"/>
        <item x="25"/>
        <item x="11"/>
        <item x="5"/>
        <item x="16"/>
        <item x="21"/>
        <item x="32"/>
        <item x="23"/>
        <item x="37"/>
        <item x="29"/>
        <item x="2"/>
        <item x="19"/>
        <item x="27"/>
        <item x="7"/>
        <item x="14"/>
        <item x="9"/>
        <item x="34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Salary" fld="11" baseField="0" baseItem="0"/>
    <dataField name="Percent of Total" fld="11" showDataAs="percentOfTotal" baseField="0" baseItem="0" numFmtId="10"/>
    <dataField name="Total Bonus" fld="12" baseField="0" baseItem="0"/>
    <dataField name="Percent of Bonus" fld="12" showDataAs="percentOfTotal" baseField="0" baseItem="0" numFmtId="10"/>
  </dataFields>
  <chartFormats count="4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4DAA18-6E02-4DBC-B173-48B72F3B2E49}" name="PivotTable1" cacheId="4" applyNumberFormats="0" applyBorderFormats="0" applyFontFormats="0" applyPatternFormats="0" applyAlignmentFormats="0" applyWidthHeightFormats="1" dataCaption="Values" errorCaption="0" showError="1" missingCaption="0" updatedVersion="8" minRefreshableVersion="3" pageWrap="2" pageOverThenDown="1" itemPrintTitles="1" mergeItem="1" createdVersion="8" indent="7" compact="0" compactData="0" gridDropZones="1">
  <location ref="A6:E12" firstHeaderRow="1" firstDataRow="2" firstDataCol="3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x="3"/>
        <item x="2"/>
        <item x="1"/>
        <item x="0"/>
        <item x="4"/>
        <item x="5"/>
        <item t="default"/>
      </items>
    </pivotField>
    <pivotField compact="0" outline="0" showAll="0">
      <items count="40">
        <item x="2"/>
        <item x="35"/>
        <item x="19"/>
        <item x="13"/>
        <item x="31"/>
        <item x="22"/>
        <item x="0"/>
        <item x="7"/>
        <item x="36"/>
        <item x="16"/>
        <item x="21"/>
        <item x="10"/>
        <item x="24"/>
        <item x="32"/>
        <item x="9"/>
        <item x="1"/>
        <item x="26"/>
        <item x="17"/>
        <item x="5"/>
        <item x="38"/>
        <item x="29"/>
        <item x="6"/>
        <item x="25"/>
        <item x="27"/>
        <item x="18"/>
        <item x="23"/>
        <item x="28"/>
        <item x="3"/>
        <item x="8"/>
        <item x="15"/>
        <item x="30"/>
        <item x="33"/>
        <item x="4"/>
        <item x="12"/>
        <item x="14"/>
        <item x="20"/>
        <item x="34"/>
        <item x="11"/>
        <item x="37"/>
        <item t="default"/>
      </items>
    </pivotField>
    <pivotField compact="0" outline="0" showAll="0">
      <items count="8">
        <item x="2"/>
        <item x="5"/>
        <item x="1"/>
        <item x="3"/>
        <item x="6"/>
        <item x="0"/>
        <item x="4"/>
        <item t="default"/>
      </items>
    </pivotField>
    <pivotField compact="0" numFmtId="14" outline="0" showAll="0">
      <items count="41">
        <item x="30"/>
        <item x="18"/>
        <item x="26"/>
        <item x="22"/>
        <item x="38"/>
        <item x="12"/>
        <item x="15"/>
        <item x="35"/>
        <item x="6"/>
        <item x="33"/>
        <item x="10"/>
        <item x="3"/>
        <item x="28"/>
        <item x="1"/>
        <item x="24"/>
        <item x="13"/>
        <item x="39"/>
        <item x="31"/>
        <item x="17"/>
        <item x="20"/>
        <item x="8"/>
        <item x="4"/>
        <item x="36"/>
        <item x="0"/>
        <item x="25"/>
        <item x="11"/>
        <item x="5"/>
        <item x="16"/>
        <item x="21"/>
        <item x="32"/>
        <item x="23"/>
        <item x="37"/>
        <item x="29"/>
        <item x="2"/>
        <item x="19"/>
        <item x="27"/>
        <item x="7"/>
        <item x="14"/>
        <item x="9"/>
        <item x="34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compact="0" outline="0" showAll="0">
      <items count="15">
        <item x="0"/>
        <item x="1"/>
        <item x="2"/>
        <item x="3"/>
        <item sd="0" x="4"/>
        <item sd="0" x="5"/>
        <item sd="0"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>
      <items count="7">
        <item x="0"/>
        <item sd="0" x="1"/>
        <item sd="0" x="2"/>
        <item sd="0" x="3"/>
        <item sd="0" x="4"/>
        <item x="5"/>
        <item t="default"/>
      </items>
    </pivotField>
  </pivotFields>
  <rowFields count="3">
    <field x="23"/>
    <field x="22"/>
    <field x="21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ary" fld="11" baseField="0" baseItem="0"/>
    <dataField name="Sum of Bonu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FD4D7C-A7DC-4CC9-B33F-D08AFB50AADA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mergeItem="1" createdVersion="8" indent="0" compact="0" compactData="0" gridDropZones="1" multipleFieldFilters="0">
  <location ref="H4:R17" firstHeaderRow="1" firstDataRow="6" firstDataCol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2"/>
        <item x="5"/>
        <item x="1"/>
        <item x="3"/>
        <item x="6"/>
        <item x="0"/>
        <item x="4"/>
        <item t="default"/>
      </items>
    </pivotField>
    <pivotField axis="axisCol" compact="0" numFmtId="14" outline="0" showAll="0">
      <items count="41">
        <item x="30"/>
        <item x="18"/>
        <item x="26"/>
        <item x="22"/>
        <item x="38"/>
        <item x="12"/>
        <item x="15"/>
        <item x="35"/>
        <item x="6"/>
        <item x="33"/>
        <item x="10"/>
        <item x="3"/>
        <item x="28"/>
        <item x="1"/>
        <item x="24"/>
        <item x="13"/>
        <item x="39"/>
        <item x="31"/>
        <item x="17"/>
        <item x="20"/>
        <item x="8"/>
        <item x="4"/>
        <item x="36"/>
        <item x="0"/>
        <item x="25"/>
        <item x="11"/>
        <item x="5"/>
        <item x="16"/>
        <item x="21"/>
        <item x="32"/>
        <item x="23"/>
        <item x="37"/>
        <item x="29"/>
        <item x="2"/>
        <item x="19"/>
        <item x="27"/>
        <item x="7"/>
        <item x="14"/>
        <item x="9"/>
        <item x="34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compact="0" outline="0" showAll="0">
      <items count="15">
        <item sd="0" x="0"/>
        <item sd="0" x="1"/>
        <item sd="0" x="2"/>
        <item sd="0" x="3"/>
        <item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5">
    <field x="23"/>
    <field x="22"/>
    <field x="21"/>
    <field x="8"/>
    <field x="-2"/>
  </colFields>
  <colItems count="10">
    <i>
      <x v="1"/>
      <x v="1048832"/>
      <x v="1048832"/>
      <x v="1048832"/>
      <x/>
    </i>
    <i r="4" i="1">
      <x v="1"/>
    </i>
    <i>
      <x v="2"/>
      <x v="1048832"/>
      <x v="1048832"/>
      <x v="1048832"/>
      <x/>
    </i>
    <i r="4" i="1">
      <x v="1"/>
    </i>
    <i>
      <x v="3"/>
      <x v="1048832"/>
      <x v="1048832"/>
      <x v="1048832"/>
      <x/>
    </i>
    <i r="4" i="1">
      <x v="1"/>
    </i>
    <i>
      <x v="4"/>
      <x v="1048832"/>
      <x v="1048832"/>
      <x v="1048832"/>
      <x/>
    </i>
    <i r="4" i="1">
      <x v="1"/>
    </i>
    <i t="grand">
      <x/>
    </i>
    <i t="grand" i="1">
      <x/>
    </i>
  </colItems>
  <dataFields count="2">
    <dataField name="Sum of Salary" fld="11" showDataAs="percentOfTotal" baseField="0" baseItem="0" numFmtId="10"/>
    <dataField name="Sum of Bonus" fld="12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6261A8-BA46-4E01-957B-0FA3ED6888A0}" autoFormatId="16" applyNumberFormats="0" applyBorderFormats="0" applyFontFormats="0" applyPatternFormats="0" applyAlignmentFormats="0" applyWidthHeightFormats="0">
  <queryTableRefresh nextId="22">
    <queryTableFields count="21">
      <queryTableField id="1" name="Emp_ID" tableColumnId="1"/>
      <queryTableField id="2" name="First_Name" tableColumnId="2"/>
      <queryTableField id="3" name="Last_Name" tableColumnId="3"/>
      <queryTableField id="4" name="Gender" tableColumnId="4"/>
      <queryTableField id="5" name="Age" tableColumnId="5"/>
      <queryTableField id="6" name="Department" tableColumnId="6"/>
      <queryTableField id="7" name="Job_Role" tableColumnId="7"/>
      <queryTableField id="8" name="Location" tableColumnId="8"/>
      <queryTableField id="9" name="Join_Date" tableColumnId="9"/>
      <queryTableField id="10" name="Experience_Years" tableColumnId="10"/>
      <queryTableField id="11" name="Employment_Type" tableColumnId="11"/>
      <queryTableField id="12" name="Salary" tableColumnId="12"/>
      <queryTableField id="13" name="Bonus" tableColumnId="13"/>
      <queryTableField id="14" name="Performance_Rating" tableColumnId="14"/>
      <queryTableField id="15" name="Overtime_Hours" tableColumnId="15"/>
      <queryTableField id="16" name="Training_Hours" tableColumnId="16"/>
      <queryTableField id="17" name="Leave_Taken" tableColumnId="17"/>
      <queryTableField id="18" name="Marital_Status" tableColumnId="18"/>
      <queryTableField id="19" name="Education_Level" tableColumnId="19"/>
      <queryTableField id="20" name="Promotion_Last_Year" tableColumnId="20"/>
      <queryTableField id="21" name="Attrition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CCAB31-81C9-4B54-BFB3-DD6DB841ED52}" name="EMPLOYEE_DATA" displayName="EMPLOYEE_DATA" ref="A1:U41" tableType="queryTable" totalsRowShown="0">
  <autoFilter ref="A1:U41" xr:uid="{D1CCAB31-81C9-4B54-BFB3-DD6DB841ED52}"/>
  <tableColumns count="21">
    <tableColumn id="1" xr3:uid="{7F736D48-96AC-4AAB-92DF-7CDE64E96E8E}" uniqueName="1" name="Emp_ID" queryTableFieldId="1" dataDxfId="287"/>
    <tableColumn id="2" xr3:uid="{E84D8C78-78AC-4F33-94E7-84645F8792AF}" uniqueName="2" name="First_Name" queryTableFieldId="2" dataDxfId="286"/>
    <tableColumn id="3" xr3:uid="{0BEA8662-420B-4BBD-A0BA-C8BAFF0C24F9}" uniqueName="3" name="Last_Name" queryTableFieldId="3" dataDxfId="285"/>
    <tableColumn id="4" xr3:uid="{A1914E5C-A83F-4D0E-8984-049C584A2C45}" uniqueName="4" name="Gender" queryTableFieldId="4" dataDxfId="284"/>
    <tableColumn id="5" xr3:uid="{7BAA2F5E-B007-43E4-BD82-6546F3B84653}" uniqueName="5" name="Age" queryTableFieldId="5"/>
    <tableColumn id="6" xr3:uid="{46EC17BB-D635-4A4D-B812-8F7795A7C1B9}" uniqueName="6" name="Department" queryTableFieldId="6" dataDxfId="283"/>
    <tableColumn id="7" xr3:uid="{B446CBAE-2A72-43C4-8A45-8CF70F306DD7}" uniqueName="7" name="Job_Role" queryTableFieldId="7" dataDxfId="282"/>
    <tableColumn id="8" xr3:uid="{3FDD4ED6-D688-4189-B700-46273566E2A2}" uniqueName="8" name="Location" queryTableFieldId="8" dataDxfId="281"/>
    <tableColumn id="9" xr3:uid="{127C868C-A791-4B1D-9E29-776708364668}" uniqueName="9" name="Join_Date" queryTableFieldId="9" dataDxfId="280"/>
    <tableColumn id="10" xr3:uid="{5D31831E-8F73-49AE-A5DF-F0417DA6DD93}" uniqueName="10" name="Experience_Years" queryTableFieldId="10"/>
    <tableColumn id="11" xr3:uid="{FBFAE7D5-D8C2-4F7B-9A07-A8CE2ABDC21D}" uniqueName="11" name="Employment_Type" queryTableFieldId="11" dataDxfId="279"/>
    <tableColumn id="12" xr3:uid="{37555EAC-9B5D-457F-83B3-CDA2AAFFCF55}" uniqueName="12" name="Salary" queryTableFieldId="12"/>
    <tableColumn id="13" xr3:uid="{962B2B68-A878-4770-9E19-40E032B4299A}" uniqueName="13" name="Bonus" queryTableFieldId="13"/>
    <tableColumn id="14" xr3:uid="{4A495FE9-C1B7-43D1-A2B7-591F271025E7}" uniqueName="14" name="Performance_Rating" queryTableFieldId="14"/>
    <tableColumn id="15" xr3:uid="{46E337B5-41DA-4BD8-829F-6E396203C0FD}" uniqueName="15" name="Overtime_Hours" queryTableFieldId="15"/>
    <tableColumn id="16" xr3:uid="{BD5D0476-5B21-4659-9190-EC5EF01A28ED}" uniqueName="16" name="Training_Hours" queryTableFieldId="16"/>
    <tableColumn id="17" xr3:uid="{8AAE2E5D-8825-4720-A143-59B929217289}" uniqueName="17" name="Leave_Taken" queryTableFieldId="17"/>
    <tableColumn id="18" xr3:uid="{F4FBEB00-450B-46EE-9ED9-301A39EE5636}" uniqueName="18" name="Marital_Status" queryTableFieldId="18" dataDxfId="278"/>
    <tableColumn id="19" xr3:uid="{7BA5149D-8961-4390-A0AA-0903E414BC96}" uniqueName="19" name="Education_Level" queryTableFieldId="19" dataDxfId="277"/>
    <tableColumn id="20" xr3:uid="{A9EA978D-3BB3-4BDF-BE3B-6084D4E7D465}" uniqueName="20" name="Promotion_Last_Year" queryTableFieldId="20" dataDxfId="276"/>
    <tableColumn id="21" xr3:uid="{32C935F1-9A18-4C97-95AA-CE41B295BB1B}" uniqueName="21" name="Attrition" queryTableFieldId="21" dataDxfId="27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Join_Date" xr10:uid="{7466C156-00E2-4FFC-AD2B-2F12BEDEE03E}" sourceName="Join_Date">
  <pivotTables>
    <pivotTable tabId="1" name="PivotTable3"/>
    <pivotTable tabId="1" name="PivotTable4"/>
    <pivotTable tabId="1" name="PivotTable6"/>
  </pivotTables>
  <state minimalRefreshVersion="6" lastRefreshVersion="6" pivotCacheId="2024298163" filterType="unknown">
    <bounds startDate="2011-01-01T00:00:00" endDate="2024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Join_Date" xr10:uid="{030B1D29-09C5-42CA-A127-DB199047AFA8}" cache="NativeTimeline_Join_Date" caption="Join_Date" showSelectionLabel="0" showTimeLevel="0" level="1" selectionLevel="1" scrollPosition="2020-10-30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11/relationships/timeline" Target="../timelines/timeline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AC5D-1B8E-4296-A691-5AF266EF7219}">
  <dimension ref="A1:U41"/>
  <sheetViews>
    <sheetView topLeftCell="L1" workbookViewId="0">
      <selection activeCell="O12" sqref="O12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12.5546875" bestFit="1" customWidth="1"/>
    <col min="4" max="4" width="9.33203125" bestFit="1" customWidth="1"/>
    <col min="5" max="5" width="6.44140625" bestFit="1" customWidth="1"/>
    <col min="6" max="6" width="13.33203125" bestFit="1" customWidth="1"/>
    <col min="7" max="7" width="23.77734375" bestFit="1" customWidth="1"/>
    <col min="8" max="8" width="10.44140625" bestFit="1" customWidth="1"/>
    <col min="9" max="9" width="11.44140625" bestFit="1" customWidth="1"/>
    <col min="10" max="10" width="17.88671875" bestFit="1" customWidth="1"/>
    <col min="11" max="11" width="19.21875" bestFit="1" customWidth="1"/>
    <col min="12" max="12" width="9.33203125" customWidth="1"/>
    <col min="13" max="13" width="8.44140625" bestFit="1" customWidth="1"/>
    <col min="14" max="14" width="20.6640625" bestFit="1" customWidth="1"/>
    <col min="15" max="15" width="17" bestFit="1" customWidth="1"/>
    <col min="16" max="16" width="16" bestFit="1" customWidth="1"/>
    <col min="17" max="17" width="14.21875" bestFit="1" customWidth="1"/>
    <col min="18" max="18" width="15.5546875" bestFit="1" customWidth="1"/>
    <col min="19" max="19" width="17.109375" bestFit="1" customWidth="1"/>
    <col min="20" max="20" width="21.44140625" bestFit="1" customWidth="1"/>
    <col min="21" max="21" width="10.21875" bestFit="1" customWidth="1"/>
  </cols>
  <sheetData>
    <row r="1" spans="1:21" x14ac:dyDescent="0.3">
      <c r="A1" t="s">
        <v>14</v>
      </c>
      <c r="B1" t="s">
        <v>15</v>
      </c>
      <c r="C1" t="s">
        <v>16</v>
      </c>
      <c r="D1" t="s">
        <v>2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1</v>
      </c>
      <c r="S1" t="s">
        <v>30</v>
      </c>
      <c r="T1" t="s">
        <v>31</v>
      </c>
      <c r="U1" t="s">
        <v>32</v>
      </c>
    </row>
    <row r="2" spans="1:21" x14ac:dyDescent="0.3">
      <c r="A2" t="s">
        <v>33</v>
      </c>
      <c r="B2" t="s">
        <v>34</v>
      </c>
      <c r="C2" t="s">
        <v>35</v>
      </c>
      <c r="D2" t="s">
        <v>7</v>
      </c>
      <c r="E2">
        <v>29</v>
      </c>
      <c r="F2" t="s">
        <v>36</v>
      </c>
      <c r="G2" t="s">
        <v>37</v>
      </c>
      <c r="H2" t="s">
        <v>13</v>
      </c>
      <c r="I2" s="1">
        <v>43628</v>
      </c>
      <c r="J2">
        <v>4</v>
      </c>
      <c r="K2" t="s">
        <v>38</v>
      </c>
      <c r="L2">
        <v>3000000</v>
      </c>
      <c r="M2">
        <v>50000</v>
      </c>
      <c r="N2">
        <v>4</v>
      </c>
      <c r="O2">
        <v>12</v>
      </c>
      <c r="P2">
        <v>30</v>
      </c>
      <c r="Q2">
        <v>5</v>
      </c>
      <c r="R2" t="s">
        <v>4</v>
      </c>
      <c r="S2" t="s">
        <v>39</v>
      </c>
      <c r="T2" t="s">
        <v>40</v>
      </c>
      <c r="U2" t="s">
        <v>40</v>
      </c>
    </row>
    <row r="3" spans="1:21" x14ac:dyDescent="0.3">
      <c r="A3" t="s">
        <v>41</v>
      </c>
      <c r="B3" t="s">
        <v>42</v>
      </c>
      <c r="C3" t="s">
        <v>43</v>
      </c>
      <c r="D3" t="s">
        <v>6</v>
      </c>
      <c r="E3">
        <v>32</v>
      </c>
      <c r="F3" t="s">
        <v>44</v>
      </c>
      <c r="G3" t="s">
        <v>45</v>
      </c>
      <c r="H3" t="s">
        <v>10</v>
      </c>
      <c r="I3" s="1">
        <v>42814</v>
      </c>
      <c r="J3">
        <v>7</v>
      </c>
      <c r="K3" t="s">
        <v>38</v>
      </c>
      <c r="L3">
        <v>850000</v>
      </c>
      <c r="M3">
        <v>70000</v>
      </c>
      <c r="N3">
        <v>5</v>
      </c>
      <c r="O3">
        <v>5</v>
      </c>
      <c r="P3">
        <v>25</v>
      </c>
      <c r="Q3">
        <v>7</v>
      </c>
      <c r="R3" t="s">
        <v>3</v>
      </c>
      <c r="S3" t="s">
        <v>46</v>
      </c>
      <c r="T3" t="s">
        <v>47</v>
      </c>
      <c r="U3" t="s">
        <v>40</v>
      </c>
    </row>
    <row r="4" spans="1:21" x14ac:dyDescent="0.3">
      <c r="A4" t="s">
        <v>48</v>
      </c>
      <c r="B4" t="s">
        <v>49</v>
      </c>
      <c r="C4" t="s">
        <v>50</v>
      </c>
      <c r="D4" t="s">
        <v>7</v>
      </c>
      <c r="E4">
        <v>26</v>
      </c>
      <c r="F4" t="s">
        <v>51</v>
      </c>
      <c r="G4" t="s">
        <v>52</v>
      </c>
      <c r="H4" t="s">
        <v>8</v>
      </c>
      <c r="I4" s="1">
        <v>44423</v>
      </c>
      <c r="J4">
        <v>2</v>
      </c>
      <c r="K4" t="s">
        <v>38</v>
      </c>
      <c r="L4">
        <v>480000</v>
      </c>
      <c r="M4">
        <v>30000</v>
      </c>
      <c r="N4">
        <v>3</v>
      </c>
      <c r="O4">
        <v>8</v>
      </c>
      <c r="P4">
        <v>15</v>
      </c>
      <c r="Q4">
        <v>4</v>
      </c>
      <c r="R4" t="s">
        <v>4</v>
      </c>
      <c r="S4" t="s">
        <v>39</v>
      </c>
      <c r="T4" t="s">
        <v>40</v>
      </c>
      <c r="U4" t="s">
        <v>40</v>
      </c>
    </row>
    <row r="5" spans="1:21" x14ac:dyDescent="0.3">
      <c r="A5" t="s">
        <v>53</v>
      </c>
      <c r="B5" t="s">
        <v>54</v>
      </c>
      <c r="C5" t="s">
        <v>55</v>
      </c>
      <c r="D5" t="s">
        <v>6</v>
      </c>
      <c r="E5">
        <v>35</v>
      </c>
      <c r="F5" t="s">
        <v>56</v>
      </c>
      <c r="G5" t="s">
        <v>57</v>
      </c>
      <c r="H5" t="s">
        <v>11</v>
      </c>
      <c r="I5" s="1">
        <v>42411</v>
      </c>
      <c r="J5">
        <v>9</v>
      </c>
      <c r="K5" t="s">
        <v>38</v>
      </c>
      <c r="L5">
        <v>720000</v>
      </c>
      <c r="M5">
        <v>90000</v>
      </c>
      <c r="N5">
        <v>4</v>
      </c>
      <c r="O5">
        <v>20</v>
      </c>
      <c r="P5">
        <v>18</v>
      </c>
      <c r="Q5">
        <v>10</v>
      </c>
      <c r="R5" t="s">
        <v>3</v>
      </c>
      <c r="S5" t="s">
        <v>39</v>
      </c>
      <c r="T5" t="s">
        <v>47</v>
      </c>
      <c r="U5" t="s">
        <v>40</v>
      </c>
    </row>
    <row r="6" spans="1:21" x14ac:dyDescent="0.3">
      <c r="A6" t="s">
        <v>58</v>
      </c>
      <c r="B6" t="s">
        <v>59</v>
      </c>
      <c r="C6" t="s">
        <v>60</v>
      </c>
      <c r="D6" t="s">
        <v>7</v>
      </c>
      <c r="E6">
        <v>30</v>
      </c>
      <c r="F6" t="s">
        <v>36</v>
      </c>
      <c r="G6" t="s">
        <v>61</v>
      </c>
      <c r="H6" t="s">
        <v>209</v>
      </c>
      <c r="I6" s="1">
        <v>43348</v>
      </c>
      <c r="J6">
        <v>5</v>
      </c>
      <c r="K6" t="s">
        <v>38</v>
      </c>
      <c r="L6">
        <v>780000</v>
      </c>
      <c r="M6">
        <v>60000</v>
      </c>
      <c r="N6">
        <v>4</v>
      </c>
      <c r="O6">
        <v>15</v>
      </c>
      <c r="P6">
        <v>40</v>
      </c>
      <c r="Q6">
        <v>6</v>
      </c>
      <c r="R6" t="s">
        <v>3</v>
      </c>
      <c r="S6" t="s">
        <v>39</v>
      </c>
      <c r="T6" t="s">
        <v>40</v>
      </c>
      <c r="U6" t="s">
        <v>40</v>
      </c>
    </row>
    <row r="7" spans="1:21" x14ac:dyDescent="0.3">
      <c r="A7" t="s">
        <v>62</v>
      </c>
      <c r="B7" t="s">
        <v>63</v>
      </c>
      <c r="C7" t="s">
        <v>64</v>
      </c>
      <c r="D7" t="s">
        <v>6</v>
      </c>
      <c r="E7">
        <v>28</v>
      </c>
      <c r="F7" t="s">
        <v>65</v>
      </c>
      <c r="G7" t="s">
        <v>66</v>
      </c>
      <c r="H7" t="s">
        <v>9</v>
      </c>
      <c r="I7" s="1">
        <v>43840</v>
      </c>
      <c r="J7">
        <v>3</v>
      </c>
      <c r="K7" t="s">
        <v>38</v>
      </c>
      <c r="L7">
        <v>540000</v>
      </c>
      <c r="M7">
        <v>35000</v>
      </c>
      <c r="N7">
        <v>3</v>
      </c>
      <c r="O7">
        <v>10</v>
      </c>
      <c r="P7">
        <v>22</v>
      </c>
      <c r="Q7">
        <v>8</v>
      </c>
      <c r="R7" t="s">
        <v>4</v>
      </c>
      <c r="S7" t="s">
        <v>39</v>
      </c>
      <c r="T7" t="s">
        <v>40</v>
      </c>
      <c r="U7" t="s">
        <v>47</v>
      </c>
    </row>
    <row r="8" spans="1:21" x14ac:dyDescent="0.3">
      <c r="A8" t="s">
        <v>67</v>
      </c>
      <c r="B8" t="s">
        <v>68</v>
      </c>
      <c r="C8" t="s">
        <v>69</v>
      </c>
      <c r="D8" t="s">
        <v>7</v>
      </c>
      <c r="E8">
        <v>40</v>
      </c>
      <c r="F8" t="s">
        <v>70</v>
      </c>
      <c r="G8" t="s">
        <v>71</v>
      </c>
      <c r="H8" t="s">
        <v>12</v>
      </c>
      <c r="I8" s="1">
        <v>41968</v>
      </c>
      <c r="J8">
        <v>12</v>
      </c>
      <c r="K8" t="s">
        <v>38</v>
      </c>
      <c r="L8">
        <v>950000</v>
      </c>
      <c r="M8">
        <v>80000</v>
      </c>
      <c r="N8">
        <v>5</v>
      </c>
      <c r="O8">
        <v>6</v>
      </c>
      <c r="P8">
        <v>20</v>
      </c>
      <c r="Q8">
        <v>12</v>
      </c>
      <c r="R8" t="s">
        <v>3</v>
      </c>
      <c r="S8" t="s">
        <v>46</v>
      </c>
      <c r="T8" t="s">
        <v>47</v>
      </c>
      <c r="U8" t="s">
        <v>40</v>
      </c>
    </row>
    <row r="9" spans="1:21" x14ac:dyDescent="0.3">
      <c r="A9" t="s">
        <v>72</v>
      </c>
      <c r="B9" t="s">
        <v>73</v>
      </c>
      <c r="C9" t="s">
        <v>74</v>
      </c>
      <c r="D9" t="s">
        <v>6</v>
      </c>
      <c r="E9">
        <v>27</v>
      </c>
      <c r="F9" t="s">
        <v>36</v>
      </c>
      <c r="G9" t="s">
        <v>75</v>
      </c>
      <c r="H9" t="s">
        <v>13</v>
      </c>
      <c r="I9" s="1">
        <v>44669</v>
      </c>
      <c r="J9">
        <v>1</v>
      </c>
      <c r="K9" t="s">
        <v>76</v>
      </c>
      <c r="L9">
        <v>600000</v>
      </c>
      <c r="M9">
        <v>25000</v>
      </c>
      <c r="N9">
        <v>4</v>
      </c>
      <c r="O9">
        <v>18</v>
      </c>
      <c r="P9">
        <v>35</v>
      </c>
      <c r="Q9">
        <v>3</v>
      </c>
      <c r="R9" t="s">
        <v>4</v>
      </c>
      <c r="S9" t="s">
        <v>39</v>
      </c>
      <c r="T9" t="s">
        <v>40</v>
      </c>
      <c r="U9" t="s">
        <v>40</v>
      </c>
    </row>
    <row r="10" spans="1:21" x14ac:dyDescent="0.3">
      <c r="A10" t="s">
        <v>77</v>
      </c>
      <c r="B10" t="s">
        <v>78</v>
      </c>
      <c r="C10" t="s">
        <v>79</v>
      </c>
      <c r="D10" t="s">
        <v>7</v>
      </c>
      <c r="E10">
        <v>31</v>
      </c>
      <c r="F10" t="s">
        <v>56</v>
      </c>
      <c r="G10" t="s">
        <v>80</v>
      </c>
      <c r="H10" t="s">
        <v>10</v>
      </c>
      <c r="I10" s="1">
        <v>43311</v>
      </c>
      <c r="J10">
        <v>5</v>
      </c>
      <c r="K10" t="s">
        <v>38</v>
      </c>
      <c r="L10">
        <v>880000</v>
      </c>
      <c r="M10">
        <v>100000</v>
      </c>
      <c r="N10">
        <v>5</v>
      </c>
      <c r="O10">
        <v>22</v>
      </c>
      <c r="P10">
        <v>16</v>
      </c>
      <c r="Q10">
        <v>9</v>
      </c>
      <c r="R10" t="s">
        <v>3</v>
      </c>
      <c r="S10" t="s">
        <v>81</v>
      </c>
      <c r="T10" t="s">
        <v>47</v>
      </c>
      <c r="U10" t="s">
        <v>40</v>
      </c>
    </row>
    <row r="11" spans="1:21" x14ac:dyDescent="0.3">
      <c r="A11" t="s">
        <v>82</v>
      </c>
      <c r="B11" t="s">
        <v>83</v>
      </c>
      <c r="C11" t="s">
        <v>84</v>
      </c>
      <c r="D11" t="s">
        <v>6</v>
      </c>
      <c r="E11">
        <v>24</v>
      </c>
      <c r="F11" t="s">
        <v>44</v>
      </c>
      <c r="G11" t="s">
        <v>85</v>
      </c>
      <c r="H11" t="s">
        <v>8</v>
      </c>
      <c r="I11" s="1">
        <v>44958</v>
      </c>
      <c r="J11">
        <v>1</v>
      </c>
      <c r="K11" t="s">
        <v>86</v>
      </c>
      <c r="L11">
        <v>300000</v>
      </c>
      <c r="M11">
        <v>10000</v>
      </c>
      <c r="N11">
        <v>3</v>
      </c>
      <c r="O11">
        <v>4</v>
      </c>
      <c r="P11">
        <v>12</v>
      </c>
      <c r="Q11">
        <v>2</v>
      </c>
      <c r="R11" t="s">
        <v>4</v>
      </c>
      <c r="S11" t="s">
        <v>39</v>
      </c>
      <c r="T11" t="s">
        <v>40</v>
      </c>
      <c r="U11" t="s">
        <v>47</v>
      </c>
    </row>
    <row r="12" spans="1:21" x14ac:dyDescent="0.3">
      <c r="A12" t="s">
        <v>87</v>
      </c>
      <c r="B12" t="s">
        <v>88</v>
      </c>
      <c r="C12" t="s">
        <v>89</v>
      </c>
      <c r="D12" t="s">
        <v>7</v>
      </c>
      <c r="E12">
        <v>34</v>
      </c>
      <c r="F12" t="s">
        <v>51</v>
      </c>
      <c r="G12" t="s">
        <v>90</v>
      </c>
      <c r="H12" t="s">
        <v>209</v>
      </c>
      <c r="I12" s="1">
        <v>42298</v>
      </c>
      <c r="J12">
        <v>8</v>
      </c>
      <c r="K12" t="s">
        <v>38</v>
      </c>
      <c r="L12">
        <v>820000</v>
      </c>
      <c r="M12">
        <v>75000</v>
      </c>
      <c r="N12">
        <v>4</v>
      </c>
      <c r="O12">
        <v>9</v>
      </c>
      <c r="P12">
        <v>28</v>
      </c>
      <c r="Q12">
        <v>7</v>
      </c>
      <c r="R12" t="s">
        <v>3</v>
      </c>
      <c r="S12" t="s">
        <v>46</v>
      </c>
      <c r="T12" t="s">
        <v>47</v>
      </c>
      <c r="U12" t="s">
        <v>40</v>
      </c>
    </row>
    <row r="13" spans="1:21" x14ac:dyDescent="0.3">
      <c r="A13" t="s">
        <v>91</v>
      </c>
      <c r="B13" t="s">
        <v>92</v>
      </c>
      <c r="C13" t="s">
        <v>93</v>
      </c>
      <c r="D13" t="s">
        <v>6</v>
      </c>
      <c r="E13">
        <v>29</v>
      </c>
      <c r="F13" t="s">
        <v>36</v>
      </c>
      <c r="G13" t="s">
        <v>94</v>
      </c>
      <c r="H13" t="s">
        <v>9</v>
      </c>
      <c r="I13" s="1">
        <v>43804</v>
      </c>
      <c r="J13">
        <v>4</v>
      </c>
      <c r="K13" t="s">
        <v>38</v>
      </c>
      <c r="L13">
        <v>620000</v>
      </c>
      <c r="M13">
        <v>45000</v>
      </c>
      <c r="N13">
        <v>4</v>
      </c>
      <c r="O13">
        <v>14</v>
      </c>
      <c r="P13">
        <v>26</v>
      </c>
      <c r="Q13">
        <v>5</v>
      </c>
      <c r="R13" t="s">
        <v>4</v>
      </c>
      <c r="S13" t="s">
        <v>39</v>
      </c>
      <c r="T13" t="s">
        <v>40</v>
      </c>
      <c r="U13" t="s">
        <v>40</v>
      </c>
    </row>
    <row r="14" spans="1:21" x14ac:dyDescent="0.3">
      <c r="A14" t="s">
        <v>95</v>
      </c>
      <c r="B14" t="s">
        <v>96</v>
      </c>
      <c r="C14" t="s">
        <v>97</v>
      </c>
      <c r="D14" t="s">
        <v>7</v>
      </c>
      <c r="E14">
        <v>38</v>
      </c>
      <c r="F14" t="s">
        <v>70</v>
      </c>
      <c r="G14" t="s">
        <v>98</v>
      </c>
      <c r="H14" t="s">
        <v>11</v>
      </c>
      <c r="I14" s="1">
        <v>41439</v>
      </c>
      <c r="J14">
        <v>13</v>
      </c>
      <c r="K14" t="s">
        <v>38</v>
      </c>
      <c r="L14">
        <v>990000</v>
      </c>
      <c r="M14">
        <v>85000</v>
      </c>
      <c r="N14">
        <v>5</v>
      </c>
      <c r="O14">
        <v>11</v>
      </c>
      <c r="P14">
        <v>19</v>
      </c>
      <c r="Q14">
        <v>11</v>
      </c>
      <c r="R14" t="s">
        <v>3</v>
      </c>
      <c r="S14" t="s">
        <v>81</v>
      </c>
      <c r="T14" t="s">
        <v>47</v>
      </c>
      <c r="U14" t="s">
        <v>40</v>
      </c>
    </row>
    <row r="15" spans="1:21" x14ac:dyDescent="0.3">
      <c r="A15" t="s">
        <v>99</v>
      </c>
      <c r="B15" t="s">
        <v>100</v>
      </c>
      <c r="C15" t="s">
        <v>101</v>
      </c>
      <c r="D15" t="s">
        <v>6</v>
      </c>
      <c r="E15">
        <v>33</v>
      </c>
      <c r="F15" t="s">
        <v>65</v>
      </c>
      <c r="G15" t="s">
        <v>102</v>
      </c>
      <c r="H15" t="s">
        <v>13</v>
      </c>
      <c r="I15" s="1">
        <v>42987</v>
      </c>
      <c r="J15">
        <v>6</v>
      </c>
      <c r="K15" t="s">
        <v>38</v>
      </c>
      <c r="L15">
        <v>870000</v>
      </c>
      <c r="M15">
        <v>78000</v>
      </c>
      <c r="N15">
        <v>5</v>
      </c>
      <c r="O15">
        <v>13</v>
      </c>
      <c r="P15">
        <v>30</v>
      </c>
      <c r="Q15">
        <v>8</v>
      </c>
      <c r="R15" t="s">
        <v>3</v>
      </c>
      <c r="S15" t="s">
        <v>46</v>
      </c>
      <c r="T15" t="s">
        <v>47</v>
      </c>
      <c r="U15" t="s">
        <v>40</v>
      </c>
    </row>
    <row r="16" spans="1:21" x14ac:dyDescent="0.3">
      <c r="A16" t="s">
        <v>103</v>
      </c>
      <c r="B16" t="s">
        <v>104</v>
      </c>
      <c r="C16" t="s">
        <v>105</v>
      </c>
      <c r="D16" t="s">
        <v>7</v>
      </c>
      <c r="E16">
        <v>25</v>
      </c>
      <c r="F16" t="s">
        <v>36</v>
      </c>
      <c r="G16" t="s">
        <v>106</v>
      </c>
      <c r="H16" t="s">
        <v>10</v>
      </c>
      <c r="I16" s="1">
        <v>44703</v>
      </c>
      <c r="J16">
        <v>1</v>
      </c>
      <c r="K16" t="s">
        <v>38</v>
      </c>
      <c r="L16">
        <v>500000</v>
      </c>
      <c r="M16">
        <v>20000</v>
      </c>
      <c r="N16">
        <v>3</v>
      </c>
      <c r="O16">
        <v>17</v>
      </c>
      <c r="P16">
        <v>21</v>
      </c>
      <c r="Q16">
        <v>4</v>
      </c>
      <c r="R16" t="s">
        <v>4</v>
      </c>
      <c r="S16" t="s">
        <v>39</v>
      </c>
      <c r="T16" t="s">
        <v>40</v>
      </c>
      <c r="U16" t="s">
        <v>47</v>
      </c>
    </row>
    <row r="17" spans="1:21" x14ac:dyDescent="0.3">
      <c r="A17" t="s">
        <v>107</v>
      </c>
      <c r="B17" t="s">
        <v>108</v>
      </c>
      <c r="C17" t="s">
        <v>109</v>
      </c>
      <c r="D17" t="s">
        <v>6</v>
      </c>
      <c r="E17">
        <v>37</v>
      </c>
      <c r="F17" t="s">
        <v>51</v>
      </c>
      <c r="G17" t="s">
        <v>110</v>
      </c>
      <c r="H17" t="s">
        <v>12</v>
      </c>
      <c r="I17" s="1">
        <v>41747</v>
      </c>
      <c r="J17">
        <v>11</v>
      </c>
      <c r="K17" t="s">
        <v>38</v>
      </c>
      <c r="L17">
        <v>910000</v>
      </c>
      <c r="M17">
        <v>88000</v>
      </c>
      <c r="N17">
        <v>5</v>
      </c>
      <c r="O17">
        <v>6</v>
      </c>
      <c r="P17">
        <v>24</v>
      </c>
      <c r="Q17">
        <v>9</v>
      </c>
      <c r="R17" t="s">
        <v>3</v>
      </c>
      <c r="S17" t="s">
        <v>46</v>
      </c>
      <c r="T17" t="s">
        <v>47</v>
      </c>
      <c r="U17" t="s">
        <v>40</v>
      </c>
    </row>
    <row r="18" spans="1:21" x14ac:dyDescent="0.3">
      <c r="A18" t="s">
        <v>111</v>
      </c>
      <c r="B18" t="s">
        <v>112</v>
      </c>
      <c r="C18" t="s">
        <v>113</v>
      </c>
      <c r="D18" t="s">
        <v>7</v>
      </c>
      <c r="E18">
        <v>28</v>
      </c>
      <c r="F18" t="s">
        <v>56</v>
      </c>
      <c r="G18" t="s">
        <v>57</v>
      </c>
      <c r="H18" t="s">
        <v>209</v>
      </c>
      <c r="I18" s="1">
        <v>44024</v>
      </c>
      <c r="J18">
        <v>3</v>
      </c>
      <c r="K18" t="s">
        <v>38</v>
      </c>
      <c r="L18">
        <v>680000</v>
      </c>
      <c r="M18">
        <v>72000</v>
      </c>
      <c r="N18">
        <v>4</v>
      </c>
      <c r="O18">
        <v>19</v>
      </c>
      <c r="P18">
        <v>15</v>
      </c>
      <c r="Q18">
        <v>6</v>
      </c>
      <c r="R18" t="s">
        <v>4</v>
      </c>
      <c r="S18" t="s">
        <v>39</v>
      </c>
      <c r="T18" t="s">
        <v>40</v>
      </c>
      <c r="U18" t="s">
        <v>40</v>
      </c>
    </row>
    <row r="19" spans="1:21" x14ac:dyDescent="0.3">
      <c r="A19" t="s">
        <v>114</v>
      </c>
      <c r="B19" t="s">
        <v>115</v>
      </c>
      <c r="C19" t="s">
        <v>116</v>
      </c>
      <c r="D19" t="s">
        <v>6</v>
      </c>
      <c r="E19">
        <v>30</v>
      </c>
      <c r="F19" t="s">
        <v>65</v>
      </c>
      <c r="G19" t="s">
        <v>117</v>
      </c>
      <c r="H19" t="s">
        <v>8</v>
      </c>
      <c r="I19" s="1">
        <v>43162</v>
      </c>
      <c r="J19">
        <v>5</v>
      </c>
      <c r="K19" t="s">
        <v>38</v>
      </c>
      <c r="L19">
        <v>750000</v>
      </c>
      <c r="M19">
        <v>65000</v>
      </c>
      <c r="N19">
        <v>4</v>
      </c>
      <c r="O19">
        <v>16</v>
      </c>
      <c r="P19">
        <v>27</v>
      </c>
      <c r="Q19">
        <v>7</v>
      </c>
      <c r="R19" t="s">
        <v>3</v>
      </c>
      <c r="S19" t="s">
        <v>39</v>
      </c>
      <c r="T19" t="s">
        <v>40</v>
      </c>
      <c r="U19" t="s">
        <v>40</v>
      </c>
    </row>
    <row r="20" spans="1:21" x14ac:dyDescent="0.3">
      <c r="A20" t="s">
        <v>118</v>
      </c>
      <c r="B20" t="s">
        <v>119</v>
      </c>
      <c r="C20" t="s">
        <v>120</v>
      </c>
      <c r="D20" t="s">
        <v>7</v>
      </c>
      <c r="E20">
        <v>36</v>
      </c>
      <c r="F20" t="s">
        <v>70</v>
      </c>
      <c r="G20" t="s">
        <v>121</v>
      </c>
      <c r="H20" t="s">
        <v>9</v>
      </c>
      <c r="I20" s="1">
        <v>41140</v>
      </c>
      <c r="J20">
        <v>14</v>
      </c>
      <c r="K20" t="s">
        <v>38</v>
      </c>
      <c r="L20">
        <v>1020000</v>
      </c>
      <c r="M20">
        <v>95000</v>
      </c>
      <c r="N20">
        <v>5</v>
      </c>
      <c r="O20">
        <v>7</v>
      </c>
      <c r="P20">
        <v>18</v>
      </c>
      <c r="Q20">
        <v>10</v>
      </c>
      <c r="R20" t="s">
        <v>3</v>
      </c>
      <c r="S20" t="s">
        <v>81</v>
      </c>
      <c r="T20" t="s">
        <v>47</v>
      </c>
      <c r="U20" t="s">
        <v>40</v>
      </c>
    </row>
    <row r="21" spans="1:21" x14ac:dyDescent="0.3">
      <c r="A21" t="s">
        <v>122</v>
      </c>
      <c r="B21" t="s">
        <v>123</v>
      </c>
      <c r="C21" t="s">
        <v>124</v>
      </c>
      <c r="D21" t="s">
        <v>6</v>
      </c>
      <c r="E21">
        <v>27</v>
      </c>
      <c r="F21" t="s">
        <v>36</v>
      </c>
      <c r="G21" t="s">
        <v>125</v>
      </c>
      <c r="H21" t="s">
        <v>11</v>
      </c>
      <c r="I21" s="1">
        <v>44511</v>
      </c>
      <c r="J21">
        <v>2</v>
      </c>
      <c r="K21" t="s">
        <v>38</v>
      </c>
      <c r="L21">
        <v>610000</v>
      </c>
      <c r="M21">
        <v>32000</v>
      </c>
      <c r="N21">
        <v>4</v>
      </c>
      <c r="O21">
        <v>12</v>
      </c>
      <c r="P21">
        <v>23</v>
      </c>
      <c r="Q21">
        <v>5</v>
      </c>
      <c r="R21" t="s">
        <v>4</v>
      </c>
      <c r="S21" t="s">
        <v>39</v>
      </c>
      <c r="T21" t="s">
        <v>40</v>
      </c>
      <c r="U21" t="s">
        <v>40</v>
      </c>
    </row>
    <row r="22" spans="1:21" x14ac:dyDescent="0.3">
      <c r="A22" t="s">
        <v>126</v>
      </c>
      <c r="B22" t="s">
        <v>127</v>
      </c>
      <c r="C22" t="s">
        <v>128</v>
      </c>
      <c r="D22" t="s">
        <v>7</v>
      </c>
      <c r="E22">
        <v>31</v>
      </c>
      <c r="F22" t="s">
        <v>36</v>
      </c>
      <c r="G22" t="s">
        <v>129</v>
      </c>
      <c r="H22" t="s">
        <v>8</v>
      </c>
      <c r="I22" s="1">
        <v>43276</v>
      </c>
      <c r="J22">
        <v>6</v>
      </c>
      <c r="K22" t="s">
        <v>38</v>
      </c>
      <c r="L22">
        <v>820000</v>
      </c>
      <c r="M22">
        <v>55000</v>
      </c>
      <c r="N22">
        <v>4</v>
      </c>
      <c r="O22">
        <v>14</v>
      </c>
      <c r="P22">
        <v>32</v>
      </c>
      <c r="Q22">
        <v>6</v>
      </c>
      <c r="R22" t="s">
        <v>3</v>
      </c>
      <c r="S22" t="s">
        <v>39</v>
      </c>
      <c r="T22" t="s">
        <v>40</v>
      </c>
      <c r="U22" t="s">
        <v>40</v>
      </c>
    </row>
    <row r="23" spans="1:21" x14ac:dyDescent="0.3">
      <c r="A23" t="s">
        <v>130</v>
      </c>
      <c r="B23" t="s">
        <v>131</v>
      </c>
      <c r="C23" t="s">
        <v>132</v>
      </c>
      <c r="D23" t="s">
        <v>6</v>
      </c>
      <c r="E23">
        <v>29</v>
      </c>
      <c r="F23" t="s">
        <v>44</v>
      </c>
      <c r="G23" t="s">
        <v>133</v>
      </c>
      <c r="H23" t="s">
        <v>13</v>
      </c>
      <c r="I23" s="1">
        <v>44088</v>
      </c>
      <c r="J23">
        <v>4</v>
      </c>
      <c r="K23" t="s">
        <v>38</v>
      </c>
      <c r="L23">
        <v>610000</v>
      </c>
      <c r="M23">
        <v>30000</v>
      </c>
      <c r="N23">
        <v>4</v>
      </c>
      <c r="O23">
        <v>6</v>
      </c>
      <c r="P23">
        <v>20</v>
      </c>
      <c r="Q23">
        <v>5</v>
      </c>
      <c r="R23" t="s">
        <v>4</v>
      </c>
      <c r="S23" t="s">
        <v>46</v>
      </c>
      <c r="T23" t="s">
        <v>40</v>
      </c>
      <c r="U23" t="s">
        <v>40</v>
      </c>
    </row>
    <row r="24" spans="1:21" x14ac:dyDescent="0.3">
      <c r="A24" t="s">
        <v>134</v>
      </c>
      <c r="B24" t="s">
        <v>135</v>
      </c>
      <c r="C24" t="s">
        <v>136</v>
      </c>
      <c r="D24" t="s">
        <v>7</v>
      </c>
      <c r="E24">
        <v>42</v>
      </c>
      <c r="F24" t="s">
        <v>51</v>
      </c>
      <c r="G24" t="s">
        <v>137</v>
      </c>
      <c r="H24" t="s">
        <v>10</v>
      </c>
      <c r="I24" s="1">
        <v>41292</v>
      </c>
      <c r="J24">
        <v>15</v>
      </c>
      <c r="K24" t="s">
        <v>38</v>
      </c>
      <c r="L24">
        <v>1150000</v>
      </c>
      <c r="M24">
        <v>120000</v>
      </c>
      <c r="N24">
        <v>5</v>
      </c>
      <c r="O24">
        <v>8</v>
      </c>
      <c r="P24">
        <v>18</v>
      </c>
      <c r="Q24">
        <v>12</v>
      </c>
      <c r="R24" t="s">
        <v>3</v>
      </c>
      <c r="S24" t="s">
        <v>81</v>
      </c>
      <c r="T24" t="s">
        <v>47</v>
      </c>
      <c r="U24" t="s">
        <v>40</v>
      </c>
    </row>
    <row r="25" spans="1:21" x14ac:dyDescent="0.3">
      <c r="A25" t="s">
        <v>138</v>
      </c>
      <c r="B25" t="s">
        <v>139</v>
      </c>
      <c r="C25" t="s">
        <v>140</v>
      </c>
      <c r="D25" t="s">
        <v>6</v>
      </c>
      <c r="E25">
        <v>26</v>
      </c>
      <c r="F25" t="s">
        <v>65</v>
      </c>
      <c r="G25" t="s">
        <v>141</v>
      </c>
      <c r="H25" t="s">
        <v>12</v>
      </c>
      <c r="I25" s="1">
        <v>44264</v>
      </c>
      <c r="J25">
        <v>3</v>
      </c>
      <c r="K25" t="s">
        <v>38</v>
      </c>
      <c r="L25">
        <v>520000</v>
      </c>
      <c r="M25">
        <v>25000</v>
      </c>
      <c r="N25">
        <v>3</v>
      </c>
      <c r="O25">
        <v>11</v>
      </c>
      <c r="P25">
        <v>28</v>
      </c>
      <c r="Q25">
        <v>4</v>
      </c>
      <c r="R25" t="s">
        <v>4</v>
      </c>
      <c r="S25" t="s">
        <v>39</v>
      </c>
      <c r="T25" t="s">
        <v>40</v>
      </c>
      <c r="U25" t="s">
        <v>47</v>
      </c>
    </row>
    <row r="26" spans="1:21" x14ac:dyDescent="0.3">
      <c r="A26" t="s">
        <v>142</v>
      </c>
      <c r="B26" t="s">
        <v>143</v>
      </c>
      <c r="C26" t="s">
        <v>144</v>
      </c>
      <c r="D26" t="s">
        <v>7</v>
      </c>
      <c r="E26">
        <v>33</v>
      </c>
      <c r="F26" t="s">
        <v>56</v>
      </c>
      <c r="G26" t="s">
        <v>145</v>
      </c>
      <c r="H26" t="s">
        <v>11</v>
      </c>
      <c r="I26" s="1">
        <v>42927</v>
      </c>
      <c r="J26">
        <v>8</v>
      </c>
      <c r="K26" t="s">
        <v>38</v>
      </c>
      <c r="L26">
        <v>930000</v>
      </c>
      <c r="M26">
        <v>110000</v>
      </c>
      <c r="N26">
        <v>5</v>
      </c>
      <c r="O26">
        <v>21</v>
      </c>
      <c r="P26">
        <v>16</v>
      </c>
      <c r="Q26">
        <v>8</v>
      </c>
      <c r="R26" t="s">
        <v>3</v>
      </c>
      <c r="S26" t="s">
        <v>81</v>
      </c>
      <c r="T26" t="s">
        <v>47</v>
      </c>
      <c r="U26" t="s">
        <v>40</v>
      </c>
    </row>
    <row r="27" spans="1:21" x14ac:dyDescent="0.3">
      <c r="A27" t="s">
        <v>146</v>
      </c>
      <c r="B27" t="s">
        <v>147</v>
      </c>
      <c r="C27" t="s">
        <v>148</v>
      </c>
      <c r="D27" t="s">
        <v>6</v>
      </c>
      <c r="E27">
        <v>30</v>
      </c>
      <c r="F27" t="s">
        <v>36</v>
      </c>
      <c r="G27" t="s">
        <v>149</v>
      </c>
      <c r="H27" t="s">
        <v>209</v>
      </c>
      <c r="I27" s="1">
        <v>43760</v>
      </c>
      <c r="J27">
        <v>5</v>
      </c>
      <c r="K27" t="s">
        <v>38</v>
      </c>
      <c r="L27">
        <v>760000</v>
      </c>
      <c r="M27">
        <v>48000</v>
      </c>
      <c r="N27">
        <v>4</v>
      </c>
      <c r="O27">
        <v>13</v>
      </c>
      <c r="P27">
        <v>35</v>
      </c>
      <c r="Q27">
        <v>6</v>
      </c>
      <c r="R27" t="s">
        <v>3</v>
      </c>
      <c r="S27" t="s">
        <v>39</v>
      </c>
      <c r="T27" t="s">
        <v>40</v>
      </c>
      <c r="U27" t="s">
        <v>40</v>
      </c>
    </row>
    <row r="28" spans="1:21" x14ac:dyDescent="0.3">
      <c r="A28" t="s">
        <v>150</v>
      </c>
      <c r="B28" t="s">
        <v>151</v>
      </c>
      <c r="C28" t="s">
        <v>152</v>
      </c>
      <c r="D28" t="s">
        <v>7</v>
      </c>
      <c r="E28">
        <v>39</v>
      </c>
      <c r="F28" t="s">
        <v>70</v>
      </c>
      <c r="G28" t="s">
        <v>153</v>
      </c>
      <c r="H28" t="s">
        <v>9</v>
      </c>
      <c r="I28" s="1">
        <v>41248</v>
      </c>
      <c r="J28">
        <v>13</v>
      </c>
      <c r="K28" t="s">
        <v>38</v>
      </c>
      <c r="L28">
        <v>980000</v>
      </c>
      <c r="M28">
        <v>90000</v>
      </c>
      <c r="N28">
        <v>5</v>
      </c>
      <c r="O28">
        <v>7</v>
      </c>
      <c r="P28">
        <v>19</v>
      </c>
      <c r="Q28">
        <v>11</v>
      </c>
      <c r="R28" t="s">
        <v>3</v>
      </c>
      <c r="S28" t="s">
        <v>39</v>
      </c>
      <c r="T28" t="s">
        <v>47</v>
      </c>
      <c r="U28" t="s">
        <v>40</v>
      </c>
    </row>
    <row r="29" spans="1:21" x14ac:dyDescent="0.3">
      <c r="A29" t="s">
        <v>154</v>
      </c>
      <c r="B29" t="s">
        <v>155</v>
      </c>
      <c r="C29" t="s">
        <v>156</v>
      </c>
      <c r="D29" t="s">
        <v>6</v>
      </c>
      <c r="E29">
        <v>28</v>
      </c>
      <c r="F29" t="s">
        <v>51</v>
      </c>
      <c r="G29" t="s">
        <v>157</v>
      </c>
      <c r="H29" t="s">
        <v>8</v>
      </c>
      <c r="I29" s="1">
        <v>44578</v>
      </c>
      <c r="J29">
        <v>2</v>
      </c>
      <c r="K29" t="s">
        <v>38</v>
      </c>
      <c r="L29">
        <v>470000</v>
      </c>
      <c r="M29">
        <v>20000</v>
      </c>
      <c r="N29">
        <v>3</v>
      </c>
      <c r="O29">
        <v>9</v>
      </c>
      <c r="P29">
        <v>22</v>
      </c>
      <c r="Q29">
        <v>5</v>
      </c>
      <c r="R29" t="s">
        <v>4</v>
      </c>
      <c r="S29" t="s">
        <v>39</v>
      </c>
      <c r="T29" t="s">
        <v>40</v>
      </c>
      <c r="U29" t="s">
        <v>40</v>
      </c>
    </row>
    <row r="30" spans="1:21" x14ac:dyDescent="0.3">
      <c r="A30" t="s">
        <v>158</v>
      </c>
      <c r="B30" t="s">
        <v>159</v>
      </c>
      <c r="C30" t="s">
        <v>160</v>
      </c>
      <c r="D30" t="s">
        <v>7</v>
      </c>
      <c r="E30">
        <v>35</v>
      </c>
      <c r="F30" t="s">
        <v>36</v>
      </c>
      <c r="G30" t="s">
        <v>161</v>
      </c>
      <c r="H30" t="s">
        <v>13</v>
      </c>
      <c r="I30" s="1">
        <v>42490</v>
      </c>
      <c r="J30">
        <v>9</v>
      </c>
      <c r="K30" t="s">
        <v>38</v>
      </c>
      <c r="L30">
        <v>1050000</v>
      </c>
      <c r="M30">
        <v>95000</v>
      </c>
      <c r="N30">
        <v>5</v>
      </c>
      <c r="O30">
        <v>10</v>
      </c>
      <c r="P30">
        <v>40</v>
      </c>
      <c r="Q30">
        <v>9</v>
      </c>
      <c r="R30" t="s">
        <v>3</v>
      </c>
      <c r="S30" t="s">
        <v>81</v>
      </c>
      <c r="T30" t="s">
        <v>47</v>
      </c>
      <c r="U30" t="s">
        <v>40</v>
      </c>
    </row>
    <row r="31" spans="1:21" x14ac:dyDescent="0.3">
      <c r="A31" t="s">
        <v>162</v>
      </c>
      <c r="B31" t="s">
        <v>163</v>
      </c>
      <c r="C31" t="s">
        <v>164</v>
      </c>
      <c r="D31" t="s">
        <v>6</v>
      </c>
      <c r="E31">
        <v>27</v>
      </c>
      <c r="F31" t="s">
        <v>56</v>
      </c>
      <c r="G31" t="s">
        <v>165</v>
      </c>
      <c r="H31" t="s">
        <v>10</v>
      </c>
      <c r="I31" s="1">
        <v>44416</v>
      </c>
      <c r="J31">
        <v>3</v>
      </c>
      <c r="K31" t="s">
        <v>38</v>
      </c>
      <c r="L31">
        <v>580000</v>
      </c>
      <c r="M31">
        <v>42000</v>
      </c>
      <c r="N31">
        <v>4</v>
      </c>
      <c r="O31">
        <v>18</v>
      </c>
      <c r="P31">
        <v>17</v>
      </c>
      <c r="Q31">
        <v>6</v>
      </c>
      <c r="R31" t="s">
        <v>4</v>
      </c>
      <c r="S31" t="s">
        <v>39</v>
      </c>
      <c r="T31" t="s">
        <v>40</v>
      </c>
      <c r="U31" t="s">
        <v>47</v>
      </c>
    </row>
    <row r="32" spans="1:21" x14ac:dyDescent="0.3">
      <c r="A32" t="s">
        <v>166</v>
      </c>
      <c r="B32" t="s">
        <v>167</v>
      </c>
      <c r="C32" t="s">
        <v>168</v>
      </c>
      <c r="D32" t="s">
        <v>7</v>
      </c>
      <c r="E32">
        <v>41</v>
      </c>
      <c r="F32" t="s">
        <v>70</v>
      </c>
      <c r="G32" t="s">
        <v>169</v>
      </c>
      <c r="H32" t="s">
        <v>209</v>
      </c>
      <c r="I32" s="1">
        <v>40679</v>
      </c>
      <c r="J32">
        <v>15</v>
      </c>
      <c r="K32" t="s">
        <v>38</v>
      </c>
      <c r="L32">
        <v>1200000</v>
      </c>
      <c r="M32">
        <v>130000</v>
      </c>
      <c r="N32">
        <v>5</v>
      </c>
      <c r="O32">
        <v>6</v>
      </c>
      <c r="P32">
        <v>15</v>
      </c>
      <c r="Q32">
        <v>13</v>
      </c>
      <c r="R32" t="s">
        <v>3</v>
      </c>
      <c r="S32" t="s">
        <v>46</v>
      </c>
      <c r="T32" t="s">
        <v>47</v>
      </c>
      <c r="U32" t="s">
        <v>40</v>
      </c>
    </row>
    <row r="33" spans="1:21" x14ac:dyDescent="0.3">
      <c r="A33" t="s">
        <v>170</v>
      </c>
      <c r="B33" t="s">
        <v>171</v>
      </c>
      <c r="C33" t="s">
        <v>172</v>
      </c>
      <c r="D33" t="s">
        <v>6</v>
      </c>
      <c r="E33">
        <v>32</v>
      </c>
      <c r="F33" t="s">
        <v>65</v>
      </c>
      <c r="G33" t="s">
        <v>173</v>
      </c>
      <c r="H33" t="s">
        <v>11</v>
      </c>
      <c r="I33" s="1">
        <v>43150</v>
      </c>
      <c r="J33">
        <v>7</v>
      </c>
      <c r="K33" t="s">
        <v>38</v>
      </c>
      <c r="L33">
        <v>690000</v>
      </c>
      <c r="M33">
        <v>50000</v>
      </c>
      <c r="N33">
        <v>4</v>
      </c>
      <c r="O33">
        <v>15</v>
      </c>
      <c r="P33">
        <v>30</v>
      </c>
      <c r="Q33">
        <v>7</v>
      </c>
      <c r="R33" t="s">
        <v>3</v>
      </c>
      <c r="S33" t="s">
        <v>39</v>
      </c>
      <c r="T33" t="s">
        <v>40</v>
      </c>
      <c r="U33" t="s">
        <v>40</v>
      </c>
    </row>
    <row r="34" spans="1:21" x14ac:dyDescent="0.3">
      <c r="A34" t="s">
        <v>174</v>
      </c>
      <c r="B34" t="s">
        <v>175</v>
      </c>
      <c r="C34" t="s">
        <v>176</v>
      </c>
      <c r="D34" t="s">
        <v>7</v>
      </c>
      <c r="E34">
        <v>29</v>
      </c>
      <c r="F34" t="s">
        <v>36</v>
      </c>
      <c r="G34" t="s">
        <v>177</v>
      </c>
      <c r="H34" t="s">
        <v>9</v>
      </c>
      <c r="I34" s="1">
        <v>44158</v>
      </c>
      <c r="J34">
        <v>4</v>
      </c>
      <c r="K34" t="s">
        <v>38</v>
      </c>
      <c r="L34">
        <v>830000</v>
      </c>
      <c r="M34">
        <v>60000</v>
      </c>
      <c r="N34">
        <v>4</v>
      </c>
      <c r="O34">
        <v>16</v>
      </c>
      <c r="P34">
        <v>36</v>
      </c>
      <c r="Q34">
        <v>5</v>
      </c>
      <c r="R34" t="s">
        <v>4</v>
      </c>
      <c r="S34" t="s">
        <v>39</v>
      </c>
      <c r="T34" t="s">
        <v>40</v>
      </c>
      <c r="U34" t="s">
        <v>40</v>
      </c>
    </row>
    <row r="35" spans="1:21" x14ac:dyDescent="0.3">
      <c r="A35" t="s">
        <v>178</v>
      </c>
      <c r="B35" t="s">
        <v>179</v>
      </c>
      <c r="C35" t="s">
        <v>180</v>
      </c>
      <c r="D35" t="s">
        <v>6</v>
      </c>
      <c r="E35">
        <v>34</v>
      </c>
      <c r="F35" t="s">
        <v>44</v>
      </c>
      <c r="G35" t="s">
        <v>181</v>
      </c>
      <c r="H35" t="s">
        <v>12</v>
      </c>
      <c r="I35" s="1">
        <v>42274</v>
      </c>
      <c r="J35">
        <v>9</v>
      </c>
      <c r="K35" t="s">
        <v>38</v>
      </c>
      <c r="L35">
        <v>880000</v>
      </c>
      <c r="M35">
        <v>72000</v>
      </c>
      <c r="N35">
        <v>5</v>
      </c>
      <c r="O35">
        <v>5</v>
      </c>
      <c r="P35">
        <v>24</v>
      </c>
      <c r="Q35">
        <v>8</v>
      </c>
      <c r="R35" t="s">
        <v>3</v>
      </c>
      <c r="S35" t="s">
        <v>46</v>
      </c>
      <c r="T35" t="s">
        <v>47</v>
      </c>
      <c r="U35" t="s">
        <v>40</v>
      </c>
    </row>
    <row r="36" spans="1:21" x14ac:dyDescent="0.3">
      <c r="A36" t="s">
        <v>182</v>
      </c>
      <c r="B36" t="s">
        <v>183</v>
      </c>
      <c r="C36" t="s">
        <v>184</v>
      </c>
      <c r="D36" t="s">
        <v>7</v>
      </c>
      <c r="E36">
        <v>25</v>
      </c>
      <c r="F36" t="s">
        <v>65</v>
      </c>
      <c r="G36" t="s">
        <v>185</v>
      </c>
      <c r="H36" t="s">
        <v>8</v>
      </c>
      <c r="I36" s="1">
        <v>45028</v>
      </c>
      <c r="J36">
        <v>1</v>
      </c>
      <c r="K36" t="s">
        <v>86</v>
      </c>
      <c r="L36">
        <v>320000</v>
      </c>
      <c r="M36">
        <v>15000</v>
      </c>
      <c r="N36">
        <v>3</v>
      </c>
      <c r="O36">
        <v>12</v>
      </c>
      <c r="P36">
        <v>18</v>
      </c>
      <c r="Q36">
        <v>3</v>
      </c>
      <c r="R36" t="s">
        <v>4</v>
      </c>
      <c r="S36" t="s">
        <v>39</v>
      </c>
      <c r="T36" t="s">
        <v>40</v>
      </c>
      <c r="U36" t="s">
        <v>47</v>
      </c>
    </row>
    <row r="37" spans="1:21" x14ac:dyDescent="0.3">
      <c r="A37" t="s">
        <v>186</v>
      </c>
      <c r="B37" t="s">
        <v>187</v>
      </c>
      <c r="C37" t="s">
        <v>109</v>
      </c>
      <c r="D37" t="s">
        <v>6</v>
      </c>
      <c r="E37">
        <v>37</v>
      </c>
      <c r="F37" t="s">
        <v>51</v>
      </c>
      <c r="G37" t="s">
        <v>188</v>
      </c>
      <c r="H37" t="s">
        <v>13</v>
      </c>
      <c r="I37" s="1">
        <v>41796</v>
      </c>
      <c r="J37">
        <v>11</v>
      </c>
      <c r="K37" t="s">
        <v>38</v>
      </c>
      <c r="L37">
        <v>970000</v>
      </c>
      <c r="M37">
        <v>85000</v>
      </c>
      <c r="N37">
        <v>5</v>
      </c>
      <c r="O37">
        <v>7</v>
      </c>
      <c r="P37">
        <v>21</v>
      </c>
      <c r="Q37">
        <v>10</v>
      </c>
      <c r="R37" t="s">
        <v>3</v>
      </c>
      <c r="S37" t="s">
        <v>81</v>
      </c>
      <c r="T37" t="s">
        <v>47</v>
      </c>
      <c r="U37" t="s">
        <v>40</v>
      </c>
    </row>
    <row r="38" spans="1:21" x14ac:dyDescent="0.3">
      <c r="A38" t="s">
        <v>189</v>
      </c>
      <c r="B38" t="s">
        <v>190</v>
      </c>
      <c r="C38" t="s">
        <v>191</v>
      </c>
      <c r="D38" t="s">
        <v>7</v>
      </c>
      <c r="E38">
        <v>30</v>
      </c>
      <c r="F38" t="s">
        <v>56</v>
      </c>
      <c r="G38" t="s">
        <v>192</v>
      </c>
      <c r="H38" t="s">
        <v>209</v>
      </c>
      <c r="I38" s="1">
        <v>43480</v>
      </c>
      <c r="J38">
        <v>5</v>
      </c>
      <c r="K38" t="s">
        <v>38</v>
      </c>
      <c r="L38">
        <v>720000</v>
      </c>
      <c r="M38">
        <v>68000</v>
      </c>
      <c r="N38">
        <v>4</v>
      </c>
      <c r="O38">
        <v>20</v>
      </c>
      <c r="P38">
        <v>19</v>
      </c>
      <c r="Q38">
        <v>6</v>
      </c>
      <c r="R38" t="s">
        <v>3</v>
      </c>
      <c r="S38" t="s">
        <v>39</v>
      </c>
      <c r="T38" t="s">
        <v>40</v>
      </c>
      <c r="U38" t="s">
        <v>40</v>
      </c>
    </row>
    <row r="39" spans="1:21" x14ac:dyDescent="0.3">
      <c r="A39" t="s">
        <v>193</v>
      </c>
      <c r="B39" t="s">
        <v>194</v>
      </c>
      <c r="C39" t="s">
        <v>195</v>
      </c>
      <c r="D39" t="s">
        <v>6</v>
      </c>
      <c r="E39">
        <v>28</v>
      </c>
      <c r="F39" t="s">
        <v>36</v>
      </c>
      <c r="G39" t="s">
        <v>196</v>
      </c>
      <c r="H39" t="s">
        <v>10</v>
      </c>
      <c r="I39" s="1">
        <v>44376</v>
      </c>
      <c r="J39">
        <v>3</v>
      </c>
      <c r="K39" t="s">
        <v>76</v>
      </c>
      <c r="L39">
        <v>750000</v>
      </c>
      <c r="M39">
        <v>40000</v>
      </c>
      <c r="N39">
        <v>4</v>
      </c>
      <c r="O39">
        <v>17</v>
      </c>
      <c r="P39">
        <v>33</v>
      </c>
      <c r="Q39">
        <v>5</v>
      </c>
      <c r="R39" t="s">
        <v>4</v>
      </c>
      <c r="S39" t="s">
        <v>39</v>
      </c>
      <c r="T39" t="s">
        <v>40</v>
      </c>
      <c r="U39" t="s">
        <v>40</v>
      </c>
    </row>
    <row r="40" spans="1:21" x14ac:dyDescent="0.3">
      <c r="A40" t="s">
        <v>197</v>
      </c>
      <c r="B40" t="s">
        <v>198</v>
      </c>
      <c r="C40" t="s">
        <v>199</v>
      </c>
      <c r="D40" t="s">
        <v>7</v>
      </c>
      <c r="E40">
        <v>36</v>
      </c>
      <c r="F40" t="s">
        <v>70</v>
      </c>
      <c r="G40" t="s">
        <v>200</v>
      </c>
      <c r="H40" t="s">
        <v>11</v>
      </c>
      <c r="I40" s="1">
        <v>41343</v>
      </c>
      <c r="J40">
        <v>12</v>
      </c>
      <c r="K40" t="s">
        <v>38</v>
      </c>
      <c r="L40">
        <v>990000</v>
      </c>
      <c r="M40">
        <v>92000</v>
      </c>
      <c r="N40">
        <v>5</v>
      </c>
      <c r="O40">
        <v>9</v>
      </c>
      <c r="P40">
        <v>16</v>
      </c>
      <c r="Q40">
        <v>11</v>
      </c>
      <c r="R40" t="s">
        <v>3</v>
      </c>
      <c r="S40" t="s">
        <v>39</v>
      </c>
      <c r="T40" t="s">
        <v>47</v>
      </c>
      <c r="U40" t="s">
        <v>40</v>
      </c>
    </row>
    <row r="41" spans="1:21" x14ac:dyDescent="0.3">
      <c r="A41" t="s">
        <v>201</v>
      </c>
      <c r="B41" t="s">
        <v>202</v>
      </c>
      <c r="C41" t="s">
        <v>203</v>
      </c>
      <c r="D41" t="s">
        <v>6</v>
      </c>
      <c r="E41">
        <v>31</v>
      </c>
      <c r="F41" t="s">
        <v>65</v>
      </c>
      <c r="G41" t="s">
        <v>204</v>
      </c>
      <c r="H41" t="s">
        <v>9</v>
      </c>
      <c r="I41" s="1">
        <v>43090</v>
      </c>
      <c r="J41">
        <v>8</v>
      </c>
      <c r="K41" t="s">
        <v>38</v>
      </c>
      <c r="L41">
        <v>910000</v>
      </c>
      <c r="M41">
        <v>88000</v>
      </c>
      <c r="N41">
        <v>5</v>
      </c>
      <c r="O41">
        <v>14</v>
      </c>
      <c r="P41">
        <v>29</v>
      </c>
      <c r="Q41">
        <v>7</v>
      </c>
      <c r="R41" t="s">
        <v>3</v>
      </c>
      <c r="S41" t="s">
        <v>81</v>
      </c>
      <c r="T41" t="s">
        <v>47</v>
      </c>
      <c r="U4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26EE0-C1EB-495C-AB00-5CB0F6656A60}">
  <dimension ref="A1:R136"/>
  <sheetViews>
    <sheetView tabSelected="1" topLeftCell="A82" workbookViewId="0">
      <selection activeCell="C91" sqref="C91"/>
    </sheetView>
  </sheetViews>
  <sheetFormatPr defaultRowHeight="14.4" x14ac:dyDescent="0.3"/>
  <cols>
    <col min="1" max="1" width="27.77734375" bestFit="1" customWidth="1"/>
    <col min="2" max="2" width="10.77734375" bestFit="1" customWidth="1"/>
    <col min="3" max="3" width="15.109375" bestFit="1" customWidth="1"/>
    <col min="4" max="4" width="16.44140625" bestFit="1" customWidth="1"/>
    <col min="5" max="5" width="15.44140625" bestFit="1" customWidth="1"/>
    <col min="6" max="6" width="13.21875" customWidth="1"/>
    <col min="7" max="7" width="0.6640625" customWidth="1"/>
    <col min="8" max="8" width="5.88671875" customWidth="1"/>
    <col min="9" max="9" width="23.77734375" bestFit="1" customWidth="1"/>
    <col min="10" max="10" width="10.44140625" bestFit="1" customWidth="1"/>
    <col min="11" max="11" width="15" bestFit="1" customWidth="1"/>
    <col min="12" max="12" width="10.88671875" bestFit="1" customWidth="1"/>
    <col min="13" max="13" width="15.109375" bestFit="1" customWidth="1"/>
    <col min="14" max="16" width="22.88671875" bestFit="1" customWidth="1"/>
    <col min="17" max="17" width="17.44140625" bestFit="1" customWidth="1"/>
    <col min="18" max="18" width="17.5546875" bestFit="1" customWidth="1"/>
    <col min="19" max="19" width="7" bestFit="1" customWidth="1"/>
    <col min="20" max="20" width="10.77734375" bestFit="1" customWidth="1"/>
    <col min="21" max="48" width="10.33203125" bestFit="1" customWidth="1"/>
    <col min="49" max="49" width="10.77734375" bestFit="1" customWidth="1"/>
    <col min="50" max="50" width="9.33203125" bestFit="1" customWidth="1"/>
    <col min="51" max="52" width="6.6640625" bestFit="1" customWidth="1"/>
    <col min="53" max="53" width="8.5546875" bestFit="1" customWidth="1"/>
    <col min="54" max="56" width="7.109375" bestFit="1" customWidth="1"/>
    <col min="57" max="57" width="9.109375" bestFit="1" customWidth="1"/>
    <col min="58" max="59" width="6.77734375" bestFit="1" customWidth="1"/>
    <col min="60" max="60" width="8.77734375" bestFit="1" customWidth="1"/>
    <col min="61" max="61" width="9.33203125" bestFit="1" customWidth="1"/>
    <col min="62" max="63" width="10.77734375" bestFit="1" customWidth="1"/>
    <col min="64" max="64" width="10.33203125" bestFit="1" customWidth="1"/>
    <col min="65" max="65" width="10.5546875" bestFit="1" customWidth="1"/>
    <col min="66" max="66" width="7.88671875" bestFit="1" customWidth="1"/>
    <col min="67" max="67" width="10.33203125" bestFit="1" customWidth="1"/>
    <col min="68" max="68" width="11.6640625" bestFit="1" customWidth="1"/>
    <col min="69" max="69" width="10.33203125" bestFit="1" customWidth="1"/>
    <col min="70" max="70" width="11.6640625" bestFit="1" customWidth="1"/>
    <col min="71" max="71" width="10.33203125" bestFit="1" customWidth="1"/>
    <col min="72" max="72" width="11.6640625" bestFit="1" customWidth="1"/>
    <col min="73" max="73" width="9" bestFit="1" customWidth="1"/>
    <col min="74" max="74" width="10.33203125" bestFit="1" customWidth="1"/>
    <col min="75" max="75" width="11.44140625" bestFit="1" customWidth="1"/>
    <col min="76" max="76" width="10.33203125" bestFit="1" customWidth="1"/>
    <col min="77" max="77" width="11.44140625" bestFit="1" customWidth="1"/>
    <col min="78" max="78" width="10.33203125" bestFit="1" customWidth="1"/>
    <col min="79" max="79" width="11.44140625" bestFit="1" customWidth="1"/>
    <col min="80" max="80" width="10.33203125" bestFit="1" customWidth="1"/>
    <col min="81" max="81" width="11.44140625" bestFit="1" customWidth="1"/>
    <col min="82" max="82" width="8.77734375" bestFit="1" customWidth="1"/>
    <col min="83" max="83" width="9.33203125" bestFit="1" customWidth="1"/>
    <col min="84" max="84" width="10.33203125" bestFit="1" customWidth="1"/>
    <col min="85" max="85" width="11.21875" bestFit="1" customWidth="1"/>
    <col min="86" max="86" width="10.33203125" bestFit="1" customWidth="1"/>
    <col min="87" max="87" width="11.21875" bestFit="1" customWidth="1"/>
    <col min="88" max="88" width="8.5546875" bestFit="1" customWidth="1"/>
    <col min="89" max="89" width="10.33203125" bestFit="1" customWidth="1"/>
    <col min="90" max="90" width="11.77734375" bestFit="1" customWidth="1"/>
    <col min="91" max="91" width="10.33203125" bestFit="1" customWidth="1"/>
    <col min="92" max="92" width="11.77734375" bestFit="1" customWidth="1"/>
    <col min="93" max="93" width="10.33203125" bestFit="1" customWidth="1"/>
    <col min="94" max="94" width="11.77734375" bestFit="1" customWidth="1"/>
    <col min="95" max="95" width="9.109375" bestFit="1" customWidth="1"/>
    <col min="96" max="97" width="10.33203125" bestFit="1" customWidth="1"/>
    <col min="98" max="98" width="11.44140625" bestFit="1" customWidth="1"/>
    <col min="99" max="99" width="10.33203125" bestFit="1" customWidth="1"/>
    <col min="100" max="100" width="11.44140625" bestFit="1" customWidth="1"/>
    <col min="101" max="101" width="8.77734375" bestFit="1" customWidth="1"/>
    <col min="102" max="102" width="9.33203125" bestFit="1" customWidth="1"/>
    <col min="103" max="103" width="10.77734375" bestFit="1" customWidth="1"/>
  </cols>
  <sheetData>
    <row r="1" spans="1:18" x14ac:dyDescent="0.3">
      <c r="G1" s="4"/>
    </row>
    <row r="2" spans="1:18" x14ac:dyDescent="0.3">
      <c r="G2" s="4"/>
    </row>
    <row r="3" spans="1:18" x14ac:dyDescent="0.3">
      <c r="G3" s="4"/>
    </row>
    <row r="4" spans="1:18" x14ac:dyDescent="0.3">
      <c r="G4" s="4"/>
      <c r="H4" s="2"/>
      <c r="I4" s="3" t="s">
        <v>210</v>
      </c>
      <c r="J4" s="3" t="s">
        <v>211</v>
      </c>
      <c r="K4" s="3" t="s">
        <v>212</v>
      </c>
      <c r="L4" s="3" t="s">
        <v>21</v>
      </c>
      <c r="M4" s="3" t="s">
        <v>213</v>
      </c>
      <c r="N4" s="2"/>
      <c r="O4" s="2"/>
      <c r="P4" s="2"/>
      <c r="Q4" s="2"/>
      <c r="R4" s="2"/>
    </row>
    <row r="5" spans="1:18" x14ac:dyDescent="0.3">
      <c r="G5" s="4"/>
      <c r="H5" s="2"/>
      <c r="I5" s="7" t="s">
        <v>206</v>
      </c>
      <c r="J5" s="8"/>
      <c r="K5" s="7" t="s">
        <v>205</v>
      </c>
      <c r="L5" s="8"/>
      <c r="M5" s="7" t="s">
        <v>207</v>
      </c>
      <c r="N5" s="8"/>
      <c r="O5" s="7" t="s">
        <v>208</v>
      </c>
      <c r="P5" s="8"/>
      <c r="Q5" s="7" t="s">
        <v>215</v>
      </c>
      <c r="R5" s="7" t="s">
        <v>216</v>
      </c>
    </row>
    <row r="6" spans="1:18" x14ac:dyDescent="0.3">
      <c r="A6" s="2"/>
      <c r="B6" s="2"/>
      <c r="C6" s="2"/>
      <c r="D6" s="3" t="s">
        <v>213</v>
      </c>
      <c r="E6" s="2"/>
      <c r="H6" s="2"/>
      <c r="I6" s="7"/>
      <c r="J6" s="8"/>
      <c r="K6" s="8"/>
      <c r="L6" s="8"/>
      <c r="M6" s="8"/>
      <c r="N6" s="8"/>
      <c r="O6" s="8"/>
      <c r="P6" s="8"/>
      <c r="Q6" s="8"/>
      <c r="R6" s="8"/>
    </row>
    <row r="7" spans="1:18" ht="28.8" x14ac:dyDescent="0.3">
      <c r="A7" s="3" t="s">
        <v>210</v>
      </c>
      <c r="B7" s="3" t="s">
        <v>211</v>
      </c>
      <c r="C7" s="3" t="s">
        <v>212</v>
      </c>
      <c r="D7" s="6" t="s">
        <v>0</v>
      </c>
      <c r="E7" s="6" t="s">
        <v>214</v>
      </c>
      <c r="H7" s="2"/>
      <c r="I7" s="7"/>
      <c r="J7" s="8"/>
      <c r="K7" s="8"/>
      <c r="L7" s="8"/>
      <c r="M7" s="8"/>
      <c r="N7" s="8"/>
      <c r="O7" s="8"/>
      <c r="P7" s="8"/>
      <c r="Q7" s="8"/>
      <c r="R7" s="8"/>
    </row>
    <row r="8" spans="1:18" x14ac:dyDescent="0.3">
      <c r="A8" s="7" t="s">
        <v>206</v>
      </c>
      <c r="B8" s="8"/>
      <c r="C8" s="8"/>
      <c r="D8">
        <v>7700000</v>
      </c>
      <c r="E8">
        <v>645000</v>
      </c>
      <c r="H8" s="2"/>
      <c r="I8" s="7"/>
      <c r="J8" s="8"/>
      <c r="K8" s="8"/>
      <c r="L8" s="8"/>
      <c r="M8" s="8"/>
      <c r="N8" s="8"/>
      <c r="O8" s="8"/>
      <c r="P8" s="8"/>
      <c r="Q8" s="8"/>
      <c r="R8" s="8"/>
    </row>
    <row r="9" spans="1:18" x14ac:dyDescent="0.3">
      <c r="A9" s="7" t="s">
        <v>205</v>
      </c>
      <c r="B9" s="8"/>
      <c r="C9" s="8"/>
      <c r="D9">
        <v>11110000</v>
      </c>
      <c r="E9">
        <v>688000</v>
      </c>
      <c r="H9" s="3" t="s">
        <v>20</v>
      </c>
      <c r="I9" s="6" t="s">
        <v>0</v>
      </c>
      <c r="J9" s="6" t="s">
        <v>214</v>
      </c>
      <c r="K9" s="6" t="s">
        <v>0</v>
      </c>
      <c r="L9" s="6" t="s">
        <v>214</v>
      </c>
      <c r="M9" s="6" t="s">
        <v>0</v>
      </c>
      <c r="N9" s="6" t="s">
        <v>214</v>
      </c>
      <c r="O9" s="6" t="s">
        <v>0</v>
      </c>
      <c r="P9" s="6" t="s">
        <v>214</v>
      </c>
      <c r="Q9" s="8"/>
      <c r="R9" s="8"/>
    </row>
    <row r="10" spans="1:18" x14ac:dyDescent="0.3">
      <c r="A10" s="7" t="s">
        <v>207</v>
      </c>
      <c r="B10" s="8"/>
      <c r="C10" s="8"/>
      <c r="D10">
        <v>7710000</v>
      </c>
      <c r="E10">
        <v>689000</v>
      </c>
      <c r="H10" s="6" t="s">
        <v>8</v>
      </c>
      <c r="I10" s="5">
        <v>4.6060606060606059E-2</v>
      </c>
      <c r="J10" s="5">
        <v>3.7401574803149609E-2</v>
      </c>
      <c r="K10" s="5">
        <v>3.4545454545454546E-2</v>
      </c>
      <c r="L10" s="5">
        <v>2.7559055118110236E-2</v>
      </c>
      <c r="M10" s="5">
        <v>1.4545454545454545E-2</v>
      </c>
      <c r="N10" s="5">
        <v>1.1811023622047244E-2</v>
      </c>
      <c r="O10" s="5">
        <v>0</v>
      </c>
      <c r="P10" s="5">
        <v>0</v>
      </c>
      <c r="Q10" s="5">
        <v>9.5151515151515154E-2</v>
      </c>
      <c r="R10" s="5">
        <v>7.6771653543307089E-2</v>
      </c>
    </row>
    <row r="11" spans="1:18" x14ac:dyDescent="0.3">
      <c r="A11" s="7" t="s">
        <v>208</v>
      </c>
      <c r="B11" s="8"/>
      <c r="C11" s="8"/>
      <c r="D11">
        <v>6480000</v>
      </c>
      <c r="E11">
        <v>518000</v>
      </c>
      <c r="H11" s="6" t="s">
        <v>9</v>
      </c>
      <c r="I11" s="5">
        <v>1.6363636363636365E-2</v>
      </c>
      <c r="J11" s="5">
        <v>1.3779527559055118E-2</v>
      </c>
      <c r="K11" s="5">
        <v>0</v>
      </c>
      <c r="L11" s="5">
        <v>0</v>
      </c>
      <c r="M11" s="5">
        <v>3.090909090909091E-2</v>
      </c>
      <c r="N11" s="5">
        <v>3.7401574803149609E-2</v>
      </c>
      <c r="O11" s="5">
        <v>0.10121212121212121</v>
      </c>
      <c r="P11" s="5">
        <v>0.11141732283464567</v>
      </c>
      <c r="Q11" s="5">
        <v>0.1484848484848485</v>
      </c>
      <c r="R11" s="5">
        <v>0.16259842519685039</v>
      </c>
    </row>
    <row r="12" spans="1:18" x14ac:dyDescent="0.3">
      <c r="A12" s="7" t="s">
        <v>5</v>
      </c>
      <c r="B12" s="8"/>
      <c r="C12" s="8"/>
      <c r="D12">
        <v>33000000</v>
      </c>
      <c r="E12">
        <v>2540000</v>
      </c>
      <c r="H12" s="6" t="s">
        <v>10</v>
      </c>
      <c r="I12" s="5">
        <v>6.0606060606060608E-2</v>
      </c>
      <c r="J12" s="5">
        <v>7.4803149606299218E-2</v>
      </c>
      <c r="K12" s="5">
        <v>3.787878787878788E-2</v>
      </c>
      <c r="L12" s="5">
        <v>2.3622047244094488E-2</v>
      </c>
      <c r="M12" s="5">
        <v>4.4242424242424243E-2</v>
      </c>
      <c r="N12" s="5">
        <v>5.5905511811023621E-2</v>
      </c>
      <c r="O12" s="5">
        <v>0</v>
      </c>
      <c r="P12" s="5">
        <v>0</v>
      </c>
      <c r="Q12" s="5">
        <v>0.14272727272727273</v>
      </c>
      <c r="R12" s="5">
        <v>0.15433070866141732</v>
      </c>
    </row>
    <row r="13" spans="1:18" x14ac:dyDescent="0.3">
      <c r="H13" s="6" t="s">
        <v>11</v>
      </c>
      <c r="I13" s="5">
        <v>7.2727272727272724E-2</v>
      </c>
      <c r="J13" s="5">
        <v>9.1338582677165353E-2</v>
      </c>
      <c r="K13" s="5">
        <v>0.03</v>
      </c>
      <c r="L13" s="5">
        <v>3.3464566929133861E-2</v>
      </c>
      <c r="M13" s="5">
        <v>2.8181818181818183E-2</v>
      </c>
      <c r="N13" s="5">
        <v>4.3307086614173228E-2</v>
      </c>
      <c r="O13" s="5">
        <v>1.8484848484848486E-2</v>
      </c>
      <c r="P13" s="5">
        <v>1.2598425196850394E-2</v>
      </c>
      <c r="Q13" s="5">
        <v>0.14939393939393938</v>
      </c>
      <c r="R13" s="5">
        <v>0.18070866141732284</v>
      </c>
    </row>
    <row r="14" spans="1:18" x14ac:dyDescent="0.3">
      <c r="H14" s="6" t="s">
        <v>12</v>
      </c>
      <c r="I14" s="5">
        <v>1.5757575757575758E-2</v>
      </c>
      <c r="J14" s="5">
        <v>9.8425196850393699E-3</v>
      </c>
      <c r="K14" s="5">
        <v>2.7575757575757576E-2</v>
      </c>
      <c r="L14" s="5">
        <v>3.4645669291338582E-2</v>
      </c>
      <c r="M14" s="5">
        <v>2.6666666666666668E-2</v>
      </c>
      <c r="N14" s="5">
        <v>2.8346456692913385E-2</v>
      </c>
      <c r="O14" s="5">
        <v>2.8787878787878789E-2</v>
      </c>
      <c r="P14" s="5">
        <v>3.1496062992125984E-2</v>
      </c>
      <c r="Q14" s="5">
        <v>9.8787878787878786E-2</v>
      </c>
      <c r="R14" s="5">
        <v>0.10433070866141732</v>
      </c>
    </row>
    <row r="15" spans="1:18" x14ac:dyDescent="0.3">
      <c r="H15" s="6" t="s">
        <v>13</v>
      </c>
      <c r="I15" s="5">
        <v>0</v>
      </c>
      <c r="J15" s="5">
        <v>0</v>
      </c>
      <c r="K15" s="5">
        <v>0.17030303030303029</v>
      </c>
      <c r="L15" s="5">
        <v>0.10039370078740158</v>
      </c>
      <c r="M15" s="5">
        <v>4.4848484848484846E-2</v>
      </c>
      <c r="N15" s="5">
        <v>4.2519685039370078E-2</v>
      </c>
      <c r="O15" s="5">
        <v>0</v>
      </c>
      <c r="P15" s="5">
        <v>0</v>
      </c>
      <c r="Q15" s="5">
        <v>0.21515151515151515</v>
      </c>
      <c r="R15" s="5">
        <v>0.14291338582677166</v>
      </c>
    </row>
    <row r="16" spans="1:18" x14ac:dyDescent="0.3">
      <c r="H16" s="6" t="s">
        <v>209</v>
      </c>
      <c r="I16" s="5">
        <v>2.181818181818182E-2</v>
      </c>
      <c r="J16" s="5">
        <v>2.6771653543307086E-2</v>
      </c>
      <c r="K16" s="5">
        <v>3.6363636363636362E-2</v>
      </c>
      <c r="L16" s="5">
        <v>5.1181102362204724E-2</v>
      </c>
      <c r="M16" s="5">
        <v>4.4242424242424243E-2</v>
      </c>
      <c r="N16" s="5">
        <v>5.1968503937007873E-2</v>
      </c>
      <c r="O16" s="5">
        <v>4.7878787878787882E-2</v>
      </c>
      <c r="P16" s="5">
        <v>4.8425196850393704E-2</v>
      </c>
      <c r="Q16" s="5">
        <v>0.1503030303030303</v>
      </c>
      <c r="R16" s="5">
        <v>0.17834645669291338</v>
      </c>
    </row>
    <row r="17" spans="1:18" x14ac:dyDescent="0.3">
      <c r="B17" s="9" t="s">
        <v>213</v>
      </c>
      <c r="H17" s="6" t="s">
        <v>5</v>
      </c>
      <c r="I17" s="5">
        <v>0.23333333333333334</v>
      </c>
      <c r="J17" s="5">
        <v>0.25393700787401574</v>
      </c>
      <c r="K17" s="5">
        <v>0.33666666666666667</v>
      </c>
      <c r="L17" s="5">
        <v>0.27086614173228346</v>
      </c>
      <c r="M17" s="5">
        <v>0.23363636363636364</v>
      </c>
      <c r="N17" s="5">
        <v>0.27125984251968505</v>
      </c>
      <c r="O17" s="5">
        <v>0.19636363636363635</v>
      </c>
      <c r="P17" s="5">
        <v>0.20393700787401575</v>
      </c>
      <c r="Q17" s="5">
        <v>1</v>
      </c>
      <c r="R17" s="5">
        <v>1</v>
      </c>
    </row>
    <row r="18" spans="1:18" x14ac:dyDescent="0.3">
      <c r="A18" s="9" t="s">
        <v>20</v>
      </c>
      <c r="B18" t="s">
        <v>221</v>
      </c>
      <c r="C18" t="s">
        <v>218</v>
      </c>
      <c r="D18" t="s">
        <v>219</v>
      </c>
      <c r="E18" t="s">
        <v>220</v>
      </c>
    </row>
    <row r="19" spans="1:18" x14ac:dyDescent="0.3">
      <c r="A19" t="s">
        <v>8</v>
      </c>
      <c r="B19" s="10">
        <v>3140000</v>
      </c>
      <c r="C19" s="5">
        <v>9.5151515151515154E-2</v>
      </c>
      <c r="D19" s="10">
        <v>195000</v>
      </c>
      <c r="E19" s="5">
        <v>7.6771653543307089E-2</v>
      </c>
    </row>
    <row r="20" spans="1:18" x14ac:dyDescent="0.3">
      <c r="A20" t="s">
        <v>9</v>
      </c>
      <c r="B20" s="10">
        <v>4900000</v>
      </c>
      <c r="C20" s="5">
        <v>0.1484848484848485</v>
      </c>
      <c r="D20" s="10">
        <v>413000</v>
      </c>
      <c r="E20" s="5">
        <v>0.16259842519685039</v>
      </c>
    </row>
    <row r="21" spans="1:18" x14ac:dyDescent="0.3">
      <c r="A21" t="s">
        <v>10</v>
      </c>
      <c r="B21" s="10">
        <v>4710000</v>
      </c>
      <c r="C21" s="5">
        <v>0.14272727272727273</v>
      </c>
      <c r="D21" s="10">
        <v>392000</v>
      </c>
      <c r="E21" s="5">
        <v>0.15433070866141732</v>
      </c>
    </row>
    <row r="22" spans="1:18" x14ac:dyDescent="0.3">
      <c r="A22" t="s">
        <v>11</v>
      </c>
      <c r="B22" s="10">
        <v>4930000</v>
      </c>
      <c r="C22" s="5">
        <v>0.14939393939393938</v>
      </c>
      <c r="D22" s="10">
        <v>459000</v>
      </c>
      <c r="E22" s="5">
        <v>0.18070866141732284</v>
      </c>
    </row>
    <row r="23" spans="1:18" x14ac:dyDescent="0.3">
      <c r="A23" t="s">
        <v>12</v>
      </c>
      <c r="B23" s="10">
        <v>3260000</v>
      </c>
      <c r="C23" s="5">
        <v>9.8787878787878786E-2</v>
      </c>
      <c r="D23" s="10">
        <v>265000</v>
      </c>
      <c r="E23" s="5">
        <v>0.10433070866141732</v>
      </c>
    </row>
    <row r="24" spans="1:18" x14ac:dyDescent="0.3">
      <c r="A24" t="s">
        <v>13</v>
      </c>
      <c r="B24" s="10">
        <v>7100000</v>
      </c>
      <c r="C24" s="5">
        <v>0.21515151515151515</v>
      </c>
      <c r="D24" s="10">
        <v>363000</v>
      </c>
      <c r="E24" s="5">
        <v>0.14291338582677166</v>
      </c>
    </row>
    <row r="25" spans="1:18" x14ac:dyDescent="0.3">
      <c r="A25" t="s">
        <v>209</v>
      </c>
      <c r="B25" s="10">
        <v>4960000</v>
      </c>
      <c r="C25" s="5">
        <v>0.1503030303030303</v>
      </c>
      <c r="D25" s="10">
        <v>453000</v>
      </c>
      <c r="E25" s="5">
        <v>0.17834645669291338</v>
      </c>
    </row>
    <row r="26" spans="1:18" x14ac:dyDescent="0.3">
      <c r="A26" t="s">
        <v>5</v>
      </c>
      <c r="B26" s="10">
        <v>33000000</v>
      </c>
      <c r="C26" s="5">
        <v>1</v>
      </c>
      <c r="D26" s="10">
        <v>2540000</v>
      </c>
      <c r="E26" s="5">
        <v>1</v>
      </c>
    </row>
    <row r="35" spans="1:13" ht="16.2" thickBot="1" x14ac:dyDescent="0.35">
      <c r="A35" s="16" t="s">
        <v>222</v>
      </c>
      <c r="B35" s="16"/>
      <c r="C35" s="16"/>
      <c r="D35" s="16"/>
      <c r="E35" s="16"/>
      <c r="H35" s="9" t="s">
        <v>20</v>
      </c>
      <c r="I35" s="9" t="s">
        <v>19</v>
      </c>
      <c r="J35" t="s">
        <v>230</v>
      </c>
      <c r="K35" t="s">
        <v>231</v>
      </c>
      <c r="L35" t="s">
        <v>219</v>
      </c>
      <c r="M35" t="s">
        <v>232</v>
      </c>
    </row>
    <row r="36" spans="1:13" ht="15" thickBot="1" x14ac:dyDescent="0.35">
      <c r="A36" s="29" t="s">
        <v>217</v>
      </c>
      <c r="B36" s="34" t="s">
        <v>221</v>
      </c>
      <c r="C36" s="35" t="s">
        <v>218</v>
      </c>
      <c r="D36" s="35" t="s">
        <v>219</v>
      </c>
      <c r="E36" s="36" t="s">
        <v>220</v>
      </c>
      <c r="H36" t="s">
        <v>8</v>
      </c>
      <c r="I36" t="s">
        <v>52</v>
      </c>
      <c r="J36" s="10">
        <v>480000</v>
      </c>
      <c r="K36" s="5">
        <v>0.15286624203821655</v>
      </c>
      <c r="L36" s="10">
        <v>30000</v>
      </c>
      <c r="M36" s="5">
        <v>0.15384615384615385</v>
      </c>
    </row>
    <row r="37" spans="1:13" x14ac:dyDescent="0.3">
      <c r="A37" s="30" t="s">
        <v>8</v>
      </c>
      <c r="B37" s="23">
        <v>3140000</v>
      </c>
      <c r="C37" s="24">
        <v>9.5151515151515154E-2</v>
      </c>
      <c r="D37" s="25">
        <v>195000</v>
      </c>
      <c r="E37" s="26">
        <v>7.6771653543307089E-2</v>
      </c>
      <c r="I37" t="s">
        <v>129</v>
      </c>
      <c r="J37" s="10">
        <v>820000</v>
      </c>
      <c r="K37" s="5">
        <v>0.26114649681528662</v>
      </c>
      <c r="L37" s="10">
        <v>55000</v>
      </c>
      <c r="M37" s="5">
        <v>0.28205128205128205</v>
      </c>
    </row>
    <row r="38" spans="1:13" x14ac:dyDescent="0.3">
      <c r="A38" s="31" t="s">
        <v>9</v>
      </c>
      <c r="B38" s="27">
        <v>4900000</v>
      </c>
      <c r="C38" s="13">
        <v>0.1484848484848485</v>
      </c>
      <c r="D38" s="12">
        <v>413000</v>
      </c>
      <c r="E38" s="19">
        <v>0.16259842519685039</v>
      </c>
      <c r="I38" t="s">
        <v>117</v>
      </c>
      <c r="J38" s="10">
        <v>750000</v>
      </c>
      <c r="K38" s="5">
        <v>0.23885350318471338</v>
      </c>
      <c r="L38" s="10">
        <v>65000</v>
      </c>
      <c r="M38" s="5">
        <v>0.33333333333333331</v>
      </c>
    </row>
    <row r="39" spans="1:13" x14ac:dyDescent="0.3">
      <c r="A39" s="31" t="s">
        <v>10</v>
      </c>
      <c r="B39" s="27">
        <v>4710000</v>
      </c>
      <c r="C39" s="13">
        <v>0.14272727272727273</v>
      </c>
      <c r="D39" s="12">
        <v>392000</v>
      </c>
      <c r="E39" s="19">
        <v>0.15433070866141732</v>
      </c>
      <c r="I39" t="s">
        <v>85</v>
      </c>
      <c r="J39" s="10">
        <v>300000</v>
      </c>
      <c r="K39" s="5">
        <v>9.5541401273885357E-2</v>
      </c>
      <c r="L39" s="10">
        <v>10000</v>
      </c>
      <c r="M39" s="5">
        <v>5.128205128205128E-2</v>
      </c>
    </row>
    <row r="40" spans="1:13" x14ac:dyDescent="0.3">
      <c r="A40" s="31" t="s">
        <v>11</v>
      </c>
      <c r="B40" s="27">
        <v>4930000</v>
      </c>
      <c r="C40" s="13">
        <v>0.14939393939393938</v>
      </c>
      <c r="D40" s="12">
        <v>459000</v>
      </c>
      <c r="E40" s="19">
        <v>0.18070866141732284</v>
      </c>
      <c r="I40" t="s">
        <v>157</v>
      </c>
      <c r="J40" s="10">
        <v>470000</v>
      </c>
      <c r="K40" s="5">
        <v>0.14968152866242038</v>
      </c>
      <c r="L40" s="10">
        <v>20000</v>
      </c>
      <c r="M40" s="5">
        <v>0.10256410256410256</v>
      </c>
    </row>
    <row r="41" spans="1:13" x14ac:dyDescent="0.3">
      <c r="A41" s="31" t="s">
        <v>12</v>
      </c>
      <c r="B41" s="27">
        <v>3260000</v>
      </c>
      <c r="C41" s="13">
        <v>9.8787878787878786E-2</v>
      </c>
      <c r="D41" s="12">
        <v>265000</v>
      </c>
      <c r="E41" s="19">
        <v>0.10433070866141732</v>
      </c>
      <c r="I41" t="s">
        <v>185</v>
      </c>
      <c r="J41" s="10">
        <v>320000</v>
      </c>
      <c r="K41" s="5">
        <v>0.10191082802547771</v>
      </c>
      <c r="L41" s="10">
        <v>15000</v>
      </c>
      <c r="M41" s="5">
        <v>7.6923076923076927E-2</v>
      </c>
    </row>
    <row r="42" spans="1:13" x14ac:dyDescent="0.3">
      <c r="A42" s="31" t="s">
        <v>13</v>
      </c>
      <c r="B42" s="27">
        <v>7100000</v>
      </c>
      <c r="C42" s="13">
        <v>0.21515151515151515</v>
      </c>
      <c r="D42" s="12">
        <v>363000</v>
      </c>
      <c r="E42" s="19">
        <v>0.14291338582677166</v>
      </c>
      <c r="H42" t="s">
        <v>223</v>
      </c>
      <c r="J42" s="10">
        <v>3140000</v>
      </c>
      <c r="K42" s="5">
        <v>1</v>
      </c>
      <c r="L42" s="10">
        <v>195000</v>
      </c>
      <c r="M42" s="5">
        <v>1</v>
      </c>
    </row>
    <row r="43" spans="1:13" ht="15" thickBot="1" x14ac:dyDescent="0.35">
      <c r="A43" s="32" t="s">
        <v>209</v>
      </c>
      <c r="B43" s="27">
        <v>4960000</v>
      </c>
      <c r="C43" s="13">
        <v>0.1503030303030303</v>
      </c>
      <c r="D43" s="12">
        <v>453000</v>
      </c>
      <c r="E43" s="19">
        <v>0.17834645669291338</v>
      </c>
      <c r="H43" t="s">
        <v>9</v>
      </c>
      <c r="I43" t="s">
        <v>177</v>
      </c>
      <c r="J43" s="10">
        <v>830000</v>
      </c>
      <c r="K43" s="5">
        <v>0.16938775510204082</v>
      </c>
      <c r="L43" s="10">
        <v>60000</v>
      </c>
      <c r="M43" s="5">
        <v>0.14527845036319612</v>
      </c>
    </row>
    <row r="44" spans="1:13" ht="15" thickBot="1" x14ac:dyDescent="0.35">
      <c r="A44" s="33" t="s">
        <v>5</v>
      </c>
      <c r="B44" s="28">
        <v>33000000</v>
      </c>
      <c r="C44" s="21">
        <v>1</v>
      </c>
      <c r="D44" s="20">
        <v>2540000</v>
      </c>
      <c r="E44" s="22">
        <v>1</v>
      </c>
      <c r="I44" t="s">
        <v>121</v>
      </c>
      <c r="J44" s="10">
        <v>1020000</v>
      </c>
      <c r="K44" s="5">
        <v>0.20816326530612245</v>
      </c>
      <c r="L44" s="10">
        <v>95000</v>
      </c>
      <c r="M44" s="5">
        <v>0.23002421307506055</v>
      </c>
    </row>
    <row r="45" spans="1:13" x14ac:dyDescent="0.3">
      <c r="I45" t="s">
        <v>66</v>
      </c>
      <c r="J45" s="10">
        <v>540000</v>
      </c>
      <c r="K45" s="5">
        <v>0.11020408163265306</v>
      </c>
      <c r="L45" s="10">
        <v>35000</v>
      </c>
      <c r="M45" s="5">
        <v>8.4745762711864403E-2</v>
      </c>
    </row>
    <row r="46" spans="1:13" x14ac:dyDescent="0.3">
      <c r="I46" t="s">
        <v>204</v>
      </c>
      <c r="J46" s="10">
        <v>910000</v>
      </c>
      <c r="K46" s="5">
        <v>0.18571428571428572</v>
      </c>
      <c r="L46" s="10">
        <v>88000</v>
      </c>
      <c r="M46" s="5">
        <v>0.21307506053268765</v>
      </c>
    </row>
    <row r="47" spans="1:13" x14ac:dyDescent="0.3">
      <c r="I47" t="s">
        <v>153</v>
      </c>
      <c r="J47" s="10">
        <v>980000</v>
      </c>
      <c r="K47" s="5">
        <v>0.2</v>
      </c>
      <c r="L47" s="10">
        <v>90000</v>
      </c>
      <c r="M47" s="5">
        <v>0.21791767554479419</v>
      </c>
    </row>
    <row r="48" spans="1:13" x14ac:dyDescent="0.3">
      <c r="I48" t="s">
        <v>94</v>
      </c>
      <c r="J48" s="10">
        <v>620000</v>
      </c>
      <c r="K48" s="5">
        <v>0.12653061224489795</v>
      </c>
      <c r="L48" s="10">
        <v>45000</v>
      </c>
      <c r="M48" s="5">
        <v>0.10895883777239709</v>
      </c>
    </row>
    <row r="49" spans="8:13" x14ac:dyDescent="0.3">
      <c r="H49" t="s">
        <v>224</v>
      </c>
      <c r="J49" s="10">
        <v>4900000</v>
      </c>
      <c r="K49" s="5">
        <v>1</v>
      </c>
      <c r="L49" s="10">
        <v>413000</v>
      </c>
      <c r="M49" s="5">
        <v>1</v>
      </c>
    </row>
    <row r="50" spans="8:13" x14ac:dyDescent="0.3">
      <c r="H50" t="s">
        <v>10</v>
      </c>
      <c r="I50" t="s">
        <v>196</v>
      </c>
      <c r="J50" s="10">
        <v>750000</v>
      </c>
      <c r="K50" s="5">
        <v>0.15923566878980891</v>
      </c>
      <c r="L50" s="10">
        <v>40000</v>
      </c>
      <c r="M50" s="5">
        <v>0.10204081632653061</v>
      </c>
    </row>
    <row r="51" spans="8:13" x14ac:dyDescent="0.3">
      <c r="I51" t="s">
        <v>137</v>
      </c>
      <c r="J51" s="10">
        <v>1150000</v>
      </c>
      <c r="K51" s="5">
        <v>0.24416135881104034</v>
      </c>
      <c r="L51" s="10">
        <v>120000</v>
      </c>
      <c r="M51" s="5">
        <v>0.30612244897959184</v>
      </c>
    </row>
    <row r="52" spans="8:13" x14ac:dyDescent="0.3">
      <c r="I52" t="s">
        <v>45</v>
      </c>
      <c r="J52" s="10">
        <v>850000</v>
      </c>
      <c r="K52" s="5">
        <v>0.18046709129511676</v>
      </c>
      <c r="L52" s="10">
        <v>70000</v>
      </c>
      <c r="M52" s="5">
        <v>0.17857142857142858</v>
      </c>
    </row>
    <row r="53" spans="8:13" x14ac:dyDescent="0.3">
      <c r="I53" t="s">
        <v>165</v>
      </c>
      <c r="J53" s="10">
        <v>580000</v>
      </c>
      <c r="K53" s="5">
        <v>0.12314225053078556</v>
      </c>
      <c r="L53" s="10">
        <v>42000</v>
      </c>
      <c r="M53" s="5">
        <v>0.10714285714285714</v>
      </c>
    </row>
    <row r="54" spans="8:13" x14ac:dyDescent="0.3">
      <c r="I54" t="s">
        <v>80</v>
      </c>
      <c r="J54" s="10">
        <v>880000</v>
      </c>
      <c r="K54" s="5">
        <v>0.18683651804670912</v>
      </c>
      <c r="L54" s="10">
        <v>100000</v>
      </c>
      <c r="M54" s="5">
        <v>0.25510204081632654</v>
      </c>
    </row>
    <row r="55" spans="8:13" x14ac:dyDescent="0.3">
      <c r="I55" t="s">
        <v>106</v>
      </c>
      <c r="J55" s="10">
        <v>500000</v>
      </c>
      <c r="K55" s="5">
        <v>0.10615711252653928</v>
      </c>
      <c r="L55" s="10">
        <v>20000</v>
      </c>
      <c r="M55" s="5">
        <v>5.1020408163265307E-2</v>
      </c>
    </row>
    <row r="56" spans="8:13" x14ac:dyDescent="0.3">
      <c r="H56" t="s">
        <v>225</v>
      </c>
      <c r="J56" s="10">
        <v>4710000</v>
      </c>
      <c r="K56" s="5">
        <v>1</v>
      </c>
      <c r="L56" s="10">
        <v>392000</v>
      </c>
      <c r="M56" s="5">
        <v>1</v>
      </c>
    </row>
    <row r="57" spans="8:13" x14ac:dyDescent="0.3">
      <c r="H57" t="s">
        <v>11</v>
      </c>
      <c r="I57" t="s">
        <v>125</v>
      </c>
      <c r="J57" s="10">
        <v>610000</v>
      </c>
      <c r="K57" s="5">
        <v>0.12373225152129817</v>
      </c>
      <c r="L57" s="10">
        <v>32000</v>
      </c>
      <c r="M57" s="5">
        <v>6.9716775599128547E-2</v>
      </c>
    </row>
    <row r="58" spans="8:13" x14ac:dyDescent="0.3">
      <c r="I58" t="s">
        <v>145</v>
      </c>
      <c r="J58" s="10">
        <v>930000</v>
      </c>
      <c r="K58" s="5">
        <v>0.18864097363083165</v>
      </c>
      <c r="L58" s="10">
        <v>110000</v>
      </c>
      <c r="M58" s="5">
        <v>0.23965141612200436</v>
      </c>
    </row>
    <row r="59" spans="8:13" x14ac:dyDescent="0.3">
      <c r="I59" t="s">
        <v>57</v>
      </c>
      <c r="J59" s="10">
        <v>720000</v>
      </c>
      <c r="K59" s="5">
        <v>0.1460446247464503</v>
      </c>
      <c r="L59" s="10">
        <v>90000</v>
      </c>
      <c r="M59" s="5">
        <v>0.19607843137254902</v>
      </c>
    </row>
    <row r="60" spans="8:13" x14ac:dyDescent="0.3">
      <c r="I60" t="s">
        <v>173</v>
      </c>
      <c r="J60" s="10">
        <v>690000</v>
      </c>
      <c r="K60" s="5">
        <v>0.13995943204868155</v>
      </c>
      <c r="L60" s="10">
        <v>50000</v>
      </c>
      <c r="M60" s="5">
        <v>0.10893246187363835</v>
      </c>
    </row>
    <row r="61" spans="8:13" x14ac:dyDescent="0.3">
      <c r="I61" t="s">
        <v>98</v>
      </c>
      <c r="J61" s="10">
        <v>990000</v>
      </c>
      <c r="K61" s="5">
        <v>0.20081135902636918</v>
      </c>
      <c r="L61" s="10">
        <v>85000</v>
      </c>
      <c r="M61" s="5">
        <v>0.18518518518518517</v>
      </c>
    </row>
    <row r="62" spans="8:13" x14ac:dyDescent="0.3">
      <c r="I62" t="s">
        <v>200</v>
      </c>
      <c r="J62" s="10">
        <v>990000</v>
      </c>
      <c r="K62" s="5">
        <v>0.20081135902636918</v>
      </c>
      <c r="L62" s="10">
        <v>92000</v>
      </c>
      <c r="M62" s="5">
        <v>0.20043572984749455</v>
      </c>
    </row>
    <row r="63" spans="8:13" x14ac:dyDescent="0.3">
      <c r="H63" t="s">
        <v>226</v>
      </c>
      <c r="J63" s="10">
        <v>4930000</v>
      </c>
      <c r="K63" s="5">
        <v>1</v>
      </c>
      <c r="L63" s="10">
        <v>459000</v>
      </c>
      <c r="M63" s="5">
        <v>1</v>
      </c>
    </row>
    <row r="64" spans="8:13" x14ac:dyDescent="0.3">
      <c r="H64" t="s">
        <v>12</v>
      </c>
      <c r="I64" t="s">
        <v>141</v>
      </c>
      <c r="J64" s="10">
        <v>520000</v>
      </c>
      <c r="K64" s="5">
        <v>0.15950920245398773</v>
      </c>
      <c r="L64" s="10">
        <v>25000</v>
      </c>
      <c r="M64" s="5">
        <v>9.4339622641509441E-2</v>
      </c>
    </row>
    <row r="65" spans="8:13" x14ac:dyDescent="0.3">
      <c r="I65" t="s">
        <v>181</v>
      </c>
      <c r="J65" s="10">
        <v>880000</v>
      </c>
      <c r="K65" s="5">
        <v>0.26993865030674846</v>
      </c>
      <c r="L65" s="10">
        <v>72000</v>
      </c>
      <c r="M65" s="5">
        <v>0.27169811320754716</v>
      </c>
    </row>
    <row r="66" spans="8:13" x14ac:dyDescent="0.3">
      <c r="I66" t="s">
        <v>71</v>
      </c>
      <c r="J66" s="10">
        <v>950000</v>
      </c>
      <c r="K66" s="5">
        <v>0.29141104294478526</v>
      </c>
      <c r="L66" s="10">
        <v>80000</v>
      </c>
      <c r="M66" s="5">
        <v>0.30188679245283018</v>
      </c>
    </row>
    <row r="67" spans="8:13" x14ac:dyDescent="0.3">
      <c r="I67" t="s">
        <v>110</v>
      </c>
      <c r="J67" s="10">
        <v>910000</v>
      </c>
      <c r="K67" s="5">
        <v>0.27914110429447853</v>
      </c>
      <c r="L67" s="10">
        <v>88000</v>
      </c>
      <c r="M67" s="5">
        <v>0.33207547169811319</v>
      </c>
    </row>
    <row r="68" spans="8:13" x14ac:dyDescent="0.3">
      <c r="H68" t="s">
        <v>227</v>
      </c>
      <c r="J68" s="10">
        <v>3260000</v>
      </c>
      <c r="K68" s="5">
        <v>1</v>
      </c>
      <c r="L68" s="10">
        <v>265000</v>
      </c>
      <c r="M68" s="5">
        <v>1</v>
      </c>
    </row>
    <row r="69" spans="8:13" x14ac:dyDescent="0.3">
      <c r="H69" t="s">
        <v>13</v>
      </c>
      <c r="I69" t="s">
        <v>102</v>
      </c>
      <c r="J69" s="10">
        <v>870000</v>
      </c>
      <c r="K69" s="5">
        <v>0.12253521126760564</v>
      </c>
      <c r="L69" s="10">
        <v>78000</v>
      </c>
      <c r="M69" s="5">
        <v>0.21487603305785125</v>
      </c>
    </row>
    <row r="70" spans="8:13" x14ac:dyDescent="0.3">
      <c r="I70" t="s">
        <v>37</v>
      </c>
      <c r="J70" s="10">
        <v>3000000</v>
      </c>
      <c r="K70" s="5">
        <v>0.42253521126760563</v>
      </c>
      <c r="L70" s="10">
        <v>50000</v>
      </c>
      <c r="M70" s="5">
        <v>0.13774104683195593</v>
      </c>
    </row>
    <row r="71" spans="8:13" x14ac:dyDescent="0.3">
      <c r="I71" t="s">
        <v>75</v>
      </c>
      <c r="J71" s="10">
        <v>600000</v>
      </c>
      <c r="K71" s="5">
        <v>8.4507042253521125E-2</v>
      </c>
      <c r="L71" s="10">
        <v>25000</v>
      </c>
      <c r="M71" s="5">
        <v>6.8870523415977963E-2</v>
      </c>
    </row>
    <row r="72" spans="8:13" x14ac:dyDescent="0.3">
      <c r="I72" t="s">
        <v>161</v>
      </c>
      <c r="J72" s="10">
        <v>1050000</v>
      </c>
      <c r="K72" s="5">
        <v>0.14788732394366197</v>
      </c>
      <c r="L72" s="10">
        <v>95000</v>
      </c>
      <c r="M72" s="5">
        <v>0.26170798898071623</v>
      </c>
    </row>
    <row r="73" spans="8:13" x14ac:dyDescent="0.3">
      <c r="I73" t="s">
        <v>133</v>
      </c>
      <c r="J73" s="10">
        <v>610000</v>
      </c>
      <c r="K73" s="5">
        <v>8.5915492957746475E-2</v>
      </c>
      <c r="L73" s="10">
        <v>30000</v>
      </c>
      <c r="M73" s="5">
        <v>8.2644628099173556E-2</v>
      </c>
    </row>
    <row r="74" spans="8:13" x14ac:dyDescent="0.3">
      <c r="I74" t="s">
        <v>188</v>
      </c>
      <c r="J74" s="10">
        <v>970000</v>
      </c>
      <c r="K74" s="5">
        <v>0.13661971830985917</v>
      </c>
      <c r="L74" s="10">
        <v>85000</v>
      </c>
      <c r="M74" s="5">
        <v>0.23415977961432508</v>
      </c>
    </row>
    <row r="75" spans="8:13" x14ac:dyDescent="0.3">
      <c r="H75" t="s">
        <v>228</v>
      </c>
      <c r="J75" s="10">
        <v>7100000</v>
      </c>
      <c r="K75" s="5">
        <v>1</v>
      </c>
      <c r="L75" s="10">
        <v>363000</v>
      </c>
      <c r="M75" s="5">
        <v>1</v>
      </c>
    </row>
    <row r="76" spans="8:13" x14ac:dyDescent="0.3">
      <c r="H76" t="s">
        <v>209</v>
      </c>
      <c r="I76" t="s">
        <v>192</v>
      </c>
      <c r="J76" s="10">
        <v>720000</v>
      </c>
      <c r="K76" s="5">
        <v>0.14516129032258066</v>
      </c>
      <c r="L76" s="10">
        <v>68000</v>
      </c>
      <c r="M76" s="5">
        <v>0.15011037527593818</v>
      </c>
    </row>
    <row r="77" spans="8:13" x14ac:dyDescent="0.3">
      <c r="I77" t="s">
        <v>90</v>
      </c>
      <c r="J77" s="10">
        <v>820000</v>
      </c>
      <c r="K77" s="5">
        <v>0.16532258064516128</v>
      </c>
      <c r="L77" s="10">
        <v>75000</v>
      </c>
      <c r="M77" s="5">
        <v>0.16556291390728478</v>
      </c>
    </row>
    <row r="78" spans="8:13" x14ac:dyDescent="0.3">
      <c r="I78" t="s">
        <v>149</v>
      </c>
      <c r="J78" s="10">
        <v>760000</v>
      </c>
      <c r="K78" s="5">
        <v>0.15322580645161291</v>
      </c>
      <c r="L78" s="10">
        <v>48000</v>
      </c>
      <c r="M78" s="5">
        <v>0.10596026490066225</v>
      </c>
    </row>
    <row r="79" spans="8:13" x14ac:dyDescent="0.3">
      <c r="I79" t="s">
        <v>169</v>
      </c>
      <c r="J79" s="10">
        <v>1200000</v>
      </c>
      <c r="K79" s="5">
        <v>0.24193548387096775</v>
      </c>
      <c r="L79" s="10">
        <v>130000</v>
      </c>
      <c r="M79" s="5">
        <v>0.28697571743929362</v>
      </c>
    </row>
    <row r="80" spans="8:13" x14ac:dyDescent="0.3">
      <c r="I80" t="s">
        <v>57</v>
      </c>
      <c r="J80" s="10">
        <v>680000</v>
      </c>
      <c r="K80" s="5">
        <v>0.13709677419354838</v>
      </c>
      <c r="L80" s="10">
        <v>72000</v>
      </c>
      <c r="M80" s="5">
        <v>0.15894039735099338</v>
      </c>
    </row>
    <row r="81" spans="1:14" x14ac:dyDescent="0.3">
      <c r="I81" t="s">
        <v>61</v>
      </c>
      <c r="J81" s="10">
        <v>780000</v>
      </c>
      <c r="K81" s="5">
        <v>0.15725806451612903</v>
      </c>
      <c r="L81" s="10">
        <v>60000</v>
      </c>
      <c r="M81" s="5">
        <v>0.13245033112582782</v>
      </c>
    </row>
    <row r="82" spans="1:14" x14ac:dyDescent="0.3">
      <c r="H82" t="s">
        <v>229</v>
      </c>
      <c r="J82" s="10">
        <v>4960000</v>
      </c>
      <c r="K82" s="5">
        <v>1</v>
      </c>
      <c r="L82" s="10">
        <v>453000</v>
      </c>
      <c r="M82" s="5">
        <v>1</v>
      </c>
    </row>
    <row r="83" spans="1:14" x14ac:dyDescent="0.3">
      <c r="H83" t="s">
        <v>5</v>
      </c>
      <c r="J83" s="10">
        <v>33000000</v>
      </c>
      <c r="K83" s="5"/>
      <c r="L83" s="10">
        <v>2540000</v>
      </c>
      <c r="M83" s="5"/>
    </row>
    <row r="86" spans="1:14" ht="18" x14ac:dyDescent="0.35">
      <c r="D86" s="2"/>
      <c r="E86" s="38" t="s">
        <v>233</v>
      </c>
      <c r="F86" s="38"/>
      <c r="G86" s="38"/>
      <c r="H86" s="38"/>
      <c r="I86" s="38"/>
      <c r="J86" s="2"/>
      <c r="K86" s="2"/>
      <c r="L86" s="2"/>
      <c r="M86" s="2"/>
      <c r="N86" s="2"/>
    </row>
    <row r="87" spans="1:14" ht="15" thickBot="1" x14ac:dyDescent="0.35">
      <c r="A87" s="37"/>
      <c r="D87" s="37" t="s">
        <v>234</v>
      </c>
    </row>
    <row r="88" spans="1:14" ht="15" thickBot="1" x14ac:dyDescent="0.35">
      <c r="A88" s="29" t="s">
        <v>20</v>
      </c>
      <c r="B88" s="39" t="s">
        <v>19</v>
      </c>
      <c r="C88" s="17" t="s">
        <v>0</v>
      </c>
      <c r="D88" s="17" t="s">
        <v>236</v>
      </c>
      <c r="E88" s="17" t="s">
        <v>214</v>
      </c>
      <c r="F88" s="18" t="s">
        <v>235</v>
      </c>
    </row>
    <row r="89" spans="1:14" x14ac:dyDescent="0.3">
      <c r="A89" s="40" t="s">
        <v>8</v>
      </c>
      <c r="B89" s="11"/>
      <c r="C89" s="14">
        <v>3140000</v>
      </c>
      <c r="D89" s="15">
        <v>9.5151515151515154E-2</v>
      </c>
      <c r="E89" s="14">
        <v>195000</v>
      </c>
      <c r="F89" s="15">
        <v>7.6771653543307089E-2</v>
      </c>
    </row>
    <row r="90" spans="1:14" x14ac:dyDescent="0.3">
      <c r="A90" s="40" t="s">
        <v>9</v>
      </c>
      <c r="B90" s="11"/>
      <c r="C90" s="14">
        <v>4900000</v>
      </c>
      <c r="D90" s="15">
        <v>0.1484848484848485</v>
      </c>
      <c r="E90" s="14">
        <v>413000</v>
      </c>
      <c r="F90" s="15">
        <v>0.16259842519685039</v>
      </c>
    </row>
    <row r="91" spans="1:14" x14ac:dyDescent="0.3">
      <c r="A91" s="40" t="s">
        <v>10</v>
      </c>
      <c r="B91" s="11"/>
      <c r="C91" s="14">
        <v>4710000</v>
      </c>
      <c r="D91" s="15">
        <v>0.14272727272727273</v>
      </c>
      <c r="E91" s="14">
        <v>392000</v>
      </c>
      <c r="F91" s="15">
        <v>0.15433070866141732</v>
      </c>
    </row>
    <row r="92" spans="1:14" x14ac:dyDescent="0.3">
      <c r="A92" s="40" t="s">
        <v>11</v>
      </c>
      <c r="B92" s="11"/>
      <c r="C92" s="14">
        <v>4930000</v>
      </c>
      <c r="D92" s="15">
        <v>0.14939393939393938</v>
      </c>
      <c r="E92" s="14">
        <v>459000</v>
      </c>
      <c r="F92" s="15">
        <v>0.18070866141732284</v>
      </c>
    </row>
    <row r="93" spans="1:14" x14ac:dyDescent="0.3">
      <c r="A93" s="40" t="s">
        <v>12</v>
      </c>
      <c r="B93" s="11"/>
      <c r="C93" s="14">
        <v>3260000</v>
      </c>
      <c r="D93" s="15">
        <v>9.8787878787878786E-2</v>
      </c>
      <c r="E93" s="14">
        <v>265000</v>
      </c>
      <c r="F93" s="15">
        <v>0.10433070866141732</v>
      </c>
    </row>
    <row r="94" spans="1:14" x14ac:dyDescent="0.3">
      <c r="A94" s="40" t="s">
        <v>13</v>
      </c>
      <c r="B94" s="11"/>
      <c r="C94" s="14">
        <v>7100000</v>
      </c>
      <c r="D94" s="15">
        <v>0.21515151515151515</v>
      </c>
      <c r="E94" s="14">
        <v>363000</v>
      </c>
      <c r="F94" s="15">
        <v>0.14291338582677166</v>
      </c>
    </row>
    <row r="95" spans="1:14" ht="15" thickBot="1" x14ac:dyDescent="0.35">
      <c r="A95" s="40" t="s">
        <v>209</v>
      </c>
      <c r="B95" s="11"/>
      <c r="C95" s="14">
        <v>4960000</v>
      </c>
      <c r="D95" s="15">
        <v>0.1503030303030303</v>
      </c>
      <c r="E95" s="14">
        <v>453000</v>
      </c>
      <c r="F95" s="15">
        <v>0.17834645669291338</v>
      </c>
    </row>
    <row r="96" spans="1:14" ht="15" thickBot="1" x14ac:dyDescent="0.35">
      <c r="A96" s="34" t="s">
        <v>5</v>
      </c>
      <c r="B96" s="36"/>
      <c r="C96" s="14">
        <v>33000000</v>
      </c>
      <c r="D96" s="15">
        <v>1</v>
      </c>
      <c r="E96" s="14">
        <v>2540000</v>
      </c>
      <c r="F96" s="15">
        <v>1</v>
      </c>
    </row>
    <row r="101" ht="15" thickBot="1" x14ac:dyDescent="0.35"/>
    <row r="102" ht="15" thickBot="1" x14ac:dyDescent="0.35"/>
    <row r="107" ht="15" thickBot="1" x14ac:dyDescent="0.35"/>
    <row r="108" ht="15" thickBot="1" x14ac:dyDescent="0.35"/>
    <row r="113" ht="15" thickBot="1" x14ac:dyDescent="0.35"/>
    <row r="114" ht="15" thickBot="1" x14ac:dyDescent="0.35"/>
    <row r="119" ht="15" thickBot="1" x14ac:dyDescent="0.35"/>
    <row r="120" ht="15" thickBot="1" x14ac:dyDescent="0.35"/>
    <row r="125" ht="15" thickBot="1" x14ac:dyDescent="0.35"/>
    <row r="126" ht="15" thickBot="1" x14ac:dyDescent="0.35"/>
    <row r="129" ht="15" thickBot="1" x14ac:dyDescent="0.35"/>
    <row r="130" ht="15" thickBot="1" x14ac:dyDescent="0.35"/>
    <row r="135" ht="15" thickBot="1" x14ac:dyDescent="0.35"/>
    <row r="136" ht="15" thickBot="1" x14ac:dyDescent="0.35"/>
  </sheetData>
  <mergeCells count="16">
    <mergeCell ref="A10:C10"/>
    <mergeCell ref="A11:C11"/>
    <mergeCell ref="A12:C12"/>
    <mergeCell ref="A35:E35"/>
    <mergeCell ref="E86:I86"/>
    <mergeCell ref="R5:R9"/>
    <mergeCell ref="I6:P6"/>
    <mergeCell ref="I7:P7"/>
    <mergeCell ref="I8:P8"/>
    <mergeCell ref="A8:C8"/>
    <mergeCell ref="A9:C9"/>
    <mergeCell ref="I5:J5"/>
    <mergeCell ref="K5:L5"/>
    <mergeCell ref="M5:N5"/>
    <mergeCell ref="O5:P5"/>
    <mergeCell ref="Q5:Q9"/>
  </mergeCells>
  <pageMargins left="0.7" right="0.7" top="0.75" bottom="0.75" header="0.3" footer="0.3"/>
  <drawing r:id="rId7"/>
  <extLst>
    <ext xmlns:x15="http://schemas.microsoft.com/office/spreadsheetml/2010/11/main" uri="{7E03D99C-DC04-49d9-9315-930204A7B6E9}">
      <x15:timelineRefs>
        <x15:timelineRef r:id="rId8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4294E5-F719-4853-9E8A-63ED5D76FD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 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</dc:creator>
  <cp:lastModifiedBy>aayush pateriya</cp:lastModifiedBy>
  <dcterms:created xsi:type="dcterms:W3CDTF">2026-02-16T07:55:37Z</dcterms:created>
  <dcterms:modified xsi:type="dcterms:W3CDTF">2026-02-17T11:10:09Z</dcterms:modified>
</cp:coreProperties>
</file>