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11" documentId="8_{6BB80DE2-9A97-4F12-AC17-1C68BB085997}" xr6:coauthVersionLast="47" xr6:coauthVersionMax="47" xr10:uidLastSave="{DC2E4F7A-158E-4CD4-B364-E4384F6DEB21}"/>
  <bookViews>
    <workbookView xWindow="1740" yWindow="2796" windowWidth="15456" windowHeight="8880" activeTab="1" xr2:uid="{728AB328-31EC-4382-92EF-E75D5A7DCED2}"/>
  </bookViews>
  <sheets>
    <sheet name="IFS_IF_FUNCTIONS" sheetId="1" r:id="rId1"/>
    <sheet name="AND_and_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J23" i="1"/>
  <c r="J3" i="1" a="1"/>
  <c r="J3" i="1"/>
  <c r="J4" i="1" a="1"/>
  <c r="J4" i="1" s="1"/>
  <c r="J5" i="1" a="1"/>
  <c r="J5" i="1" s="1"/>
  <c r="J6" i="1" a="1"/>
  <c r="J6" i="1"/>
  <c r="J7" i="1" a="1"/>
  <c r="J7" i="1"/>
  <c r="J8" i="1" a="1"/>
  <c r="J8" i="1"/>
  <c r="J9" i="1" a="1"/>
  <c r="J9" i="1"/>
  <c r="J10" i="1" a="1"/>
  <c r="J10" i="1" s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 s="1"/>
  <c r="J17" i="1" a="1"/>
  <c r="J17" i="1" s="1"/>
  <c r="J18" i="1" a="1"/>
  <c r="J18" i="1" s="1"/>
  <c r="J19" i="1" a="1"/>
  <c r="J19" i="1" s="1"/>
  <c r="J20" i="1" a="1"/>
  <c r="J20" i="1"/>
  <c r="J21" i="1" a="1"/>
  <c r="J21" i="1"/>
  <c r="J2" i="1" a="1"/>
  <c r="J2" i="1" s="1"/>
  <c r="C63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" i="1"/>
  <c r="I2" i="1" s="1"/>
  <c r="H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<sst xmlns="http://schemas.openxmlformats.org/spreadsheetml/2006/main" count="189" uniqueCount="84">
  <si>
    <t>Employee_ID</t>
  </si>
  <si>
    <t>Department</t>
  </si>
  <si>
    <t>Sales</t>
  </si>
  <si>
    <t>Marketing</t>
  </si>
  <si>
    <t>Finance</t>
  </si>
  <si>
    <t>Human Resources</t>
  </si>
  <si>
    <t>Information Technology</t>
  </si>
  <si>
    <t>Customer Support</t>
  </si>
  <si>
    <t>Operations</t>
  </si>
  <si>
    <t>Research and Development</t>
  </si>
  <si>
    <t>Procurement</t>
  </si>
  <si>
    <t>Logistics</t>
  </si>
  <si>
    <t>Administration</t>
  </si>
  <si>
    <t>Legal</t>
  </si>
  <si>
    <t>Quality Assurance</t>
  </si>
  <si>
    <t>Product Management</t>
  </si>
  <si>
    <t>Business Development</t>
  </si>
  <si>
    <t>Training and Development</t>
  </si>
  <si>
    <t>Data Analytics</t>
  </si>
  <si>
    <t>Public Relations</t>
  </si>
  <si>
    <t>Risk Management</t>
  </si>
  <si>
    <t>Strategy and Planning</t>
  </si>
  <si>
    <t>TotalSales</t>
  </si>
  <si>
    <t>TargetStatus</t>
  </si>
  <si>
    <t>Sales Achieved</t>
  </si>
  <si>
    <t>Status</t>
  </si>
  <si>
    <t>&gt;=20000</t>
  </si>
  <si>
    <t>Completed</t>
  </si>
  <si>
    <t>&lt;=20000</t>
  </si>
  <si>
    <t>Incomplete</t>
  </si>
  <si>
    <t>Column1</t>
  </si>
  <si>
    <t>Column2</t>
  </si>
  <si>
    <t>Column3</t>
  </si>
  <si>
    <t>Column4</t>
  </si>
  <si>
    <t>Column5</t>
  </si>
  <si>
    <t>Incentives</t>
  </si>
  <si>
    <t>Incentives Calculation</t>
  </si>
  <si>
    <t>Percentage</t>
  </si>
  <si>
    <t>20000&gt;</t>
  </si>
  <si>
    <t>15000&gt;</t>
  </si>
  <si>
    <t>10000&gt;</t>
  </si>
  <si>
    <t>NAME</t>
  </si>
  <si>
    <t>DEPARTMENT</t>
  </si>
  <si>
    <t>SALARY</t>
  </si>
  <si>
    <t>Amit Sharma</t>
  </si>
  <si>
    <t>Neha Verma</t>
  </si>
  <si>
    <t>Rahul Singh</t>
  </si>
  <si>
    <t>Priya Gupta</t>
  </si>
  <si>
    <t>Karan Mehta</t>
  </si>
  <si>
    <t>Sneha Kapoor</t>
  </si>
  <si>
    <t>Rohit Agarwal</t>
  </si>
  <si>
    <t>Pooja Jain</t>
  </si>
  <si>
    <t>Vikas Yadav</t>
  </si>
  <si>
    <t>Anjali Mishra</t>
  </si>
  <si>
    <t>Arjun Nair</t>
  </si>
  <si>
    <t>Kavita Iyer</t>
  </si>
  <si>
    <t>Manish Tiwari</t>
  </si>
  <si>
    <t>Simran Kaur</t>
  </si>
  <si>
    <t>Deepak Chauhan</t>
  </si>
  <si>
    <t>Ritika Sinha</t>
  </si>
  <si>
    <t>Aditya Patel</t>
  </si>
  <si>
    <t>Meera Nanda</t>
  </si>
  <si>
    <t>Sanjay Gupta</t>
  </si>
  <si>
    <t>Nisha Arora</t>
  </si>
  <si>
    <t>Tarun Khanna</t>
  </si>
  <si>
    <t>Riya Malhotra</t>
  </si>
  <si>
    <t>Vivek Bansal</t>
  </si>
  <si>
    <t>Shalini Saxena</t>
  </si>
  <si>
    <t>Nitin Choudhary</t>
  </si>
  <si>
    <t>Aarti Desai</t>
  </si>
  <si>
    <t>Mohit Suri</t>
  </si>
  <si>
    <t>Divya Batra</t>
  </si>
  <si>
    <t>Akash Verma</t>
  </si>
  <si>
    <t>Sonal Gupta</t>
  </si>
  <si>
    <t>USE OF "AND" AND "OR"</t>
  </si>
  <si>
    <t>BOTH</t>
  </si>
  <si>
    <t>PROMOTION</t>
  </si>
  <si>
    <t>5&gt;</t>
  </si>
  <si>
    <t>Yes</t>
  </si>
  <si>
    <t>ANY ONE</t>
  </si>
  <si>
    <t>WORKING_YEARS</t>
  </si>
  <si>
    <t>(AND)PROMOTIONS?</t>
  </si>
  <si>
    <t>(OR) PROMOTIONS?</t>
  </si>
  <si>
    <t>JOINING_DATE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</si>
</sst>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9" fontId="0" fillId="0" borderId="0" xfId="0" applyNumberFormat="1"/>
    <xf numFmtId="0" fontId="5" fillId="3" borderId="0" xfId="0" applyFont="1" applyFill="1" applyAlignment="1">
      <alignment horizontal="center"/>
    </xf>
    <xf numFmtId="0" fontId="1" fillId="2" borderId="1" xfId="1" applyAlignment="1">
      <alignment horizontal="left" vertical="center"/>
    </xf>
    <xf numFmtId="0" fontId="1" fillId="2" borderId="1" xfId="1" applyNumberFormat="1" applyAlignment="1">
      <alignment horizontal="left" vertical="center"/>
    </xf>
    <xf numFmtId="165" fontId="1" fillId="2" borderId="1" xfId="1" applyNumberFormat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1" fillId="2" borderId="1" xfId="1" applyAlignment="1">
      <alignment horizontal="left"/>
    </xf>
    <xf numFmtId="0" fontId="1" fillId="5" borderId="1" xfId="1" applyFill="1" applyAlignment="1">
      <alignment horizontal="left"/>
    </xf>
    <xf numFmtId="0" fontId="1" fillId="2" borderId="1" xfId="1"/>
    <xf numFmtId="0" fontId="1" fillId="2" borderId="2" xfId="1" applyBorder="1" applyAlignment="1">
      <alignment horizontal="left" vertical="center"/>
    </xf>
    <xf numFmtId="14" fontId="1" fillId="2" borderId="1" xfId="1" applyNumberFormat="1" applyAlignment="1">
      <alignment horizontal="left" vertical="center"/>
    </xf>
  </cellXfs>
  <cellStyles count="2">
    <cellStyle name="Normal" xfId="0" builtinId="0"/>
    <cellStyle name="Output" xfId="1" builtinId="2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6D807-790D-4F42-AF04-4A15545BC780}" name="Table2" displayName="Table2" ref="A1:C61" totalsRowShown="0" headerRowDxfId="6">
  <tableColumns count="3">
    <tableColumn id="1" xr3:uid="{3682DFD3-23AB-44D3-989A-AAFC98AED6FF}" name="Employee_ID"/>
    <tableColumn id="2" xr3:uid="{E4126251-EB64-4FF2-B6E0-CB4BEB888643}" name="Department"/>
    <tableColumn id="3" xr3:uid="{2F0638D8-B7F1-48F0-885B-2BBF011A6FF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700DD-9A9A-47ED-8267-E35EB9BB7CC5}" name="Table3" displayName="Table3" ref="G1:J21" totalsRowShown="0" headerRowDxfId="8">
  <tableColumns count="4">
    <tableColumn id="1" xr3:uid="{80EF3DB8-1F55-4F69-83FD-5CA80B27F796}" name="Department"/>
    <tableColumn id="2" xr3:uid="{C027B8EC-D7EE-44F1-B462-C86CEA8C704B}" name="TotalSales">
      <calculatedColumnFormula>SUMIF(B:B,G2,C:C)</calculatedColumnFormula>
    </tableColumn>
    <tableColumn id="3" xr3:uid="{5EB74061-B861-4AF1-8BC8-62A7F3729190}" name="TargetStatus">
      <calculatedColumnFormula>IF(Table3[[#This Row],[TotalSales]]&gt;=20000,"Completed","Incomplete")</calculatedColumnFormula>
    </tableColumn>
    <tableColumn id="4" xr3:uid="{04758158-BC7E-4950-9267-BEFA815265C2}" name="Incentives">
      <calculatedColumnFormula array="1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E876D-EE64-43AE-A3D5-071766A5926D}" name="Table1" displayName="Table1" ref="O1:S4" totalsRowShown="0" headerRowDxfId="7" dataDxfId="9">
  <tableColumns count="5">
    <tableColumn id="1" xr3:uid="{7BBD6877-5FA9-48DE-A51F-8C8FBD015DE5}" name="Column1" dataDxfId="12"/>
    <tableColumn id="2" xr3:uid="{A75D974B-039F-4638-8EC5-EC0CDE9906E6}" name="Column2" dataDxfId="11"/>
    <tableColumn id="3" xr3:uid="{8AF341AE-28BC-4D15-BEE2-C8B672BD5701}" name="Column3" dataDxfId="10"/>
    <tableColumn id="4" xr3:uid="{0C877CA0-7F6F-4A4A-AC14-513ECB97890A}" name="Column4"/>
    <tableColumn id="5" xr3:uid="{0B826F50-BA4A-450D-954D-6DC9BAEA13BE}" name="Column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1050D1-34F9-45BA-B614-B5A90B18D9A3}" name="Table5" displayName="Table5" ref="O9:S13" totalsRowShown="0" headerRowDxfId="0" dataDxfId="1">
  <tableColumns count="5">
    <tableColumn id="1" xr3:uid="{14E6A543-4794-4DAA-9C25-AA61EC2EA3E5}" name="Column1" dataDxfId="5"/>
    <tableColumn id="2" xr3:uid="{C32C4367-3AD6-4B98-81FD-60852609760A}" name="Column2" dataDxfId="4"/>
    <tableColumn id="3" xr3:uid="{F304C0B8-A054-4C7A-AD25-ADA7E1C86BA1}" name="Column3" dataDxfId="3"/>
    <tableColumn id="4" xr3:uid="{7F065AD8-166C-41F4-B943-B2490296F1D7}" name="Column4" dataDxfId="2"/>
    <tableColumn id="5" xr3:uid="{6B3567D9-44FD-426C-9F42-7FFD3773F489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9484-761B-4E58-9214-CF4C0F93336F}">
  <dimension ref="A1:S63"/>
  <sheetViews>
    <sheetView workbookViewId="0">
      <selection activeCell="J24" sqref="J24"/>
    </sheetView>
  </sheetViews>
  <sheetFormatPr defaultRowHeight="14.4" x14ac:dyDescent="0.3"/>
  <cols>
    <col min="1" max="1" width="14" customWidth="1"/>
    <col min="2" max="2" width="23.5546875" bestFit="1" customWidth="1"/>
    <col min="3" max="3" width="7.109375" customWidth="1"/>
    <col min="7" max="7" width="23.5546875" bestFit="1" customWidth="1"/>
    <col min="8" max="8" width="11.33203125" customWidth="1"/>
    <col min="9" max="9" width="13.44140625" customWidth="1"/>
    <col min="15" max="15" width="16.5546875" bestFit="1" customWidth="1"/>
    <col min="16" max="19" width="10.88671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G1" s="2" t="s">
        <v>1</v>
      </c>
      <c r="H1" s="2" t="s">
        <v>22</v>
      </c>
      <c r="I1" s="2" t="s">
        <v>23</v>
      </c>
      <c r="J1" s="2" t="s">
        <v>35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</row>
    <row r="2" spans="1:19" x14ac:dyDescent="0.3">
      <c r="A2">
        <v>1</v>
      </c>
      <c r="B2" t="s">
        <v>2</v>
      </c>
      <c r="C2">
        <v>5200</v>
      </c>
      <c r="G2" t="s">
        <v>2</v>
      </c>
      <c r="H2">
        <f>SUMIF(B:B,G2,C:C)</f>
        <v>16800</v>
      </c>
      <c r="I2" t="str">
        <f>IF(Table3[[#This Row],[TotalSales]]&gt;=20000,"Completed","Incomplete")</f>
        <v>Incomplete</v>
      </c>
      <c r="J2" cm="1">
        <f t="array" ref="J2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3360</v>
      </c>
      <c r="O2" s="1" t="s">
        <v>24</v>
      </c>
      <c r="P2" s="1"/>
      <c r="Q2" s="1"/>
      <c r="R2" t="s">
        <v>25</v>
      </c>
    </row>
    <row r="3" spans="1:19" x14ac:dyDescent="0.3">
      <c r="A3">
        <v>2</v>
      </c>
      <c r="B3" t="s">
        <v>3</v>
      </c>
      <c r="C3">
        <v>4300</v>
      </c>
      <c r="G3" t="s">
        <v>3</v>
      </c>
      <c r="H3">
        <f t="shared" ref="H3:H21" si="0">SUMIF(B:B,G3,C:C)</f>
        <v>13400</v>
      </c>
      <c r="I3" t="str">
        <f>IF(Table3[[#This Row],[TotalSales]]&gt;=20000,"Completed","Incomplete")</f>
        <v>Incomplete</v>
      </c>
      <c r="J3" cm="1">
        <f t="array" ref="J3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2680</v>
      </c>
      <c r="O3" s="1" t="s">
        <v>26</v>
      </c>
      <c r="P3" s="1"/>
      <c r="Q3" s="1"/>
      <c r="R3" t="s">
        <v>27</v>
      </c>
    </row>
    <row r="4" spans="1:19" x14ac:dyDescent="0.3">
      <c r="A4">
        <v>3</v>
      </c>
      <c r="B4" t="s">
        <v>5</v>
      </c>
      <c r="C4">
        <v>3100</v>
      </c>
      <c r="G4" t="s">
        <v>5</v>
      </c>
      <c r="H4">
        <f t="shared" si="0"/>
        <v>9300</v>
      </c>
      <c r="I4" t="str">
        <f>IF(Table3[[#This Row],[TotalSales]]&gt;=20000,"Completed","Incomplete")</f>
        <v>Incomplete</v>
      </c>
      <c r="J4" cm="1">
        <f t="array" ref="J4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1860</v>
      </c>
      <c r="O4" s="1" t="s">
        <v>28</v>
      </c>
      <c r="P4" s="1"/>
      <c r="Q4" s="1"/>
      <c r="R4" t="s">
        <v>29</v>
      </c>
    </row>
    <row r="5" spans="1:19" x14ac:dyDescent="0.3">
      <c r="A5">
        <v>4</v>
      </c>
      <c r="B5" t="s">
        <v>4</v>
      </c>
      <c r="C5">
        <v>7200</v>
      </c>
      <c r="G5" t="s">
        <v>4</v>
      </c>
      <c r="H5">
        <f t="shared" si="0"/>
        <v>22200</v>
      </c>
      <c r="I5" t="str">
        <f>IF(Table3[[#This Row],[TotalSales]]&gt;=20000,"Completed","Incomplete")</f>
        <v>Completed</v>
      </c>
      <c r="J5" cm="1">
        <f t="array" ref="J5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5550</v>
      </c>
    </row>
    <row r="6" spans="1:19" x14ac:dyDescent="0.3">
      <c r="A6">
        <v>5</v>
      </c>
      <c r="B6" t="s">
        <v>6</v>
      </c>
      <c r="C6">
        <v>8100</v>
      </c>
      <c r="G6" t="s">
        <v>6</v>
      </c>
      <c r="H6">
        <f t="shared" si="0"/>
        <v>24700</v>
      </c>
      <c r="I6" t="str">
        <f>IF(Table3[[#This Row],[TotalSales]]&gt;=20000,"Completed","Incomplete")</f>
        <v>Completed</v>
      </c>
      <c r="J6" cm="1">
        <f t="array" ref="J6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6175</v>
      </c>
    </row>
    <row r="7" spans="1:19" x14ac:dyDescent="0.3">
      <c r="A7">
        <v>6</v>
      </c>
      <c r="B7" t="s">
        <v>7</v>
      </c>
      <c r="C7">
        <v>3900</v>
      </c>
      <c r="G7" t="s">
        <v>7</v>
      </c>
      <c r="H7">
        <f t="shared" si="0"/>
        <v>11700</v>
      </c>
      <c r="I7" t="str">
        <f>IF(Table3[[#This Row],[TotalSales]]&gt;=20000,"Completed","Incomplete")</f>
        <v>Incomplete</v>
      </c>
      <c r="J7" cm="1">
        <f t="array" ref="J7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2340</v>
      </c>
    </row>
    <row r="8" spans="1:19" ht="15.6" x14ac:dyDescent="0.3">
      <c r="A8">
        <v>7</v>
      </c>
      <c r="B8" t="s">
        <v>8</v>
      </c>
      <c r="C8">
        <v>12700</v>
      </c>
      <c r="G8" t="s">
        <v>8</v>
      </c>
      <c r="H8">
        <f t="shared" si="0"/>
        <v>24700</v>
      </c>
      <c r="I8" t="str">
        <f>IF(Table3[[#This Row],[TotalSales]]&gt;=20000,"Completed","Incomplete")</f>
        <v>Completed</v>
      </c>
      <c r="J8" cm="1">
        <f t="array" ref="J8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6175</v>
      </c>
      <c r="O8" s="5" t="s">
        <v>36</v>
      </c>
      <c r="P8" s="5"/>
      <c r="Q8" s="5"/>
      <c r="R8" s="5"/>
      <c r="S8" s="5"/>
    </row>
    <row r="9" spans="1:19" x14ac:dyDescent="0.3">
      <c r="A9">
        <v>8</v>
      </c>
      <c r="B9" t="s">
        <v>9</v>
      </c>
      <c r="C9">
        <v>7500</v>
      </c>
      <c r="G9" t="s">
        <v>9</v>
      </c>
      <c r="H9">
        <f t="shared" si="0"/>
        <v>23100</v>
      </c>
      <c r="I9" t="str">
        <f>IF(Table3[[#This Row],[TotalSales]]&gt;=20000,"Completed","Incomplete")</f>
        <v>Completed</v>
      </c>
      <c r="J9" cm="1">
        <f t="array" ref="J9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5775</v>
      </c>
      <c r="O9" s="1" t="s">
        <v>30</v>
      </c>
      <c r="P9" s="1" t="s">
        <v>31</v>
      </c>
      <c r="Q9" s="1" t="s">
        <v>32</v>
      </c>
      <c r="R9" t="s">
        <v>33</v>
      </c>
      <c r="S9" t="s">
        <v>34</v>
      </c>
    </row>
    <row r="10" spans="1:19" x14ac:dyDescent="0.3">
      <c r="A10">
        <v>9</v>
      </c>
      <c r="B10" t="s">
        <v>10</v>
      </c>
      <c r="C10">
        <v>4200</v>
      </c>
      <c r="G10" t="s">
        <v>10</v>
      </c>
      <c r="H10">
        <f t="shared" si="0"/>
        <v>12900</v>
      </c>
      <c r="I10" t="str">
        <f>IF(Table3[[#This Row],[TotalSales]]&gt;=20000,"Completed","Incomplete")</f>
        <v>Incomplete</v>
      </c>
      <c r="J10" cm="1">
        <f t="array" ref="J10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2580</v>
      </c>
      <c r="O10" s="1" t="s">
        <v>2</v>
      </c>
      <c r="P10" s="1"/>
      <c r="Q10" s="1"/>
      <c r="R10" t="s">
        <v>37</v>
      </c>
    </row>
    <row r="11" spans="1:19" x14ac:dyDescent="0.3">
      <c r="A11">
        <v>10</v>
      </c>
      <c r="B11" t="s">
        <v>11</v>
      </c>
      <c r="C11">
        <v>4700</v>
      </c>
      <c r="G11" t="s">
        <v>11</v>
      </c>
      <c r="H11">
        <f t="shared" si="0"/>
        <v>14500</v>
      </c>
      <c r="I11" t="str">
        <f>IF(Table3[[#This Row],[TotalSales]]&gt;=20000,"Completed","Incomplete")</f>
        <v>Incomplete</v>
      </c>
      <c r="J11" cm="1">
        <f t="array" ref="J11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2900</v>
      </c>
      <c r="O11" s="1" t="s">
        <v>38</v>
      </c>
      <c r="P11" s="1"/>
      <c r="Q11" s="1"/>
      <c r="R11" s="4">
        <v>0.2</v>
      </c>
    </row>
    <row r="12" spans="1:19" x14ac:dyDescent="0.3">
      <c r="A12">
        <v>11</v>
      </c>
      <c r="B12" t="s">
        <v>12</v>
      </c>
      <c r="C12">
        <v>3600</v>
      </c>
      <c r="G12" t="s">
        <v>12</v>
      </c>
      <c r="H12">
        <f t="shared" si="0"/>
        <v>11100</v>
      </c>
      <c r="I12" t="str">
        <f>IF(Table3[[#This Row],[TotalSales]]&gt;=20000,"Completed","Incomplete")</f>
        <v>Incomplete</v>
      </c>
      <c r="J12" cm="1">
        <f t="array" ref="J12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2220</v>
      </c>
      <c r="O12" s="1" t="s">
        <v>39</v>
      </c>
      <c r="P12" s="1"/>
      <c r="Q12" s="1"/>
      <c r="R12" s="4">
        <v>0.15</v>
      </c>
    </row>
    <row r="13" spans="1:19" x14ac:dyDescent="0.3">
      <c r="A13">
        <v>12</v>
      </c>
      <c r="B13" t="s">
        <v>13</v>
      </c>
      <c r="C13">
        <v>6400</v>
      </c>
      <c r="G13" t="s">
        <v>13</v>
      </c>
      <c r="H13">
        <f t="shared" si="0"/>
        <v>19500</v>
      </c>
      <c r="I13" t="str">
        <f>IF(Table3[[#This Row],[TotalSales]]&gt;=20000,"Completed","Incomplete")</f>
        <v>Incomplete</v>
      </c>
      <c r="J13" cm="1">
        <f t="array" ref="J13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3900</v>
      </c>
      <c r="O13" s="1" t="s">
        <v>40</v>
      </c>
      <c r="P13" s="1"/>
      <c r="Q13" s="1"/>
      <c r="R13" s="4">
        <v>0.1</v>
      </c>
    </row>
    <row r="14" spans="1:19" x14ac:dyDescent="0.3">
      <c r="A14">
        <v>13</v>
      </c>
      <c r="B14" t="s">
        <v>14</v>
      </c>
      <c r="C14">
        <v>5800</v>
      </c>
      <c r="G14" t="s">
        <v>14</v>
      </c>
      <c r="H14">
        <f t="shared" si="0"/>
        <v>18000</v>
      </c>
      <c r="I14" t="str">
        <f>IF(Table3[[#This Row],[TotalSales]]&gt;=20000,"Completed","Incomplete")</f>
        <v>Incomplete</v>
      </c>
      <c r="J14" cm="1">
        <f t="array" ref="J14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3600</v>
      </c>
    </row>
    <row r="15" spans="1:19" x14ac:dyDescent="0.3">
      <c r="A15">
        <v>14</v>
      </c>
      <c r="B15" t="s">
        <v>15</v>
      </c>
      <c r="C15">
        <v>6900</v>
      </c>
      <c r="G15" t="s">
        <v>15</v>
      </c>
      <c r="H15">
        <f t="shared" si="0"/>
        <v>21200</v>
      </c>
      <c r="I15" t="str">
        <f>IF(Table3[[#This Row],[TotalSales]]&gt;=20000,"Completed","Incomplete")</f>
        <v>Completed</v>
      </c>
      <c r="J15" cm="1">
        <f t="array" ref="J15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5300</v>
      </c>
    </row>
    <row r="16" spans="1:19" x14ac:dyDescent="0.3">
      <c r="A16">
        <v>15</v>
      </c>
      <c r="B16" t="s">
        <v>16</v>
      </c>
      <c r="C16">
        <v>7300</v>
      </c>
      <c r="G16" t="s">
        <v>16</v>
      </c>
      <c r="H16">
        <f t="shared" si="0"/>
        <v>22500</v>
      </c>
      <c r="I16" t="str">
        <f>IF(Table3[[#This Row],[TotalSales]]&gt;=20000,"Completed","Incomplete")</f>
        <v>Completed</v>
      </c>
      <c r="J16" cm="1">
        <f t="array" ref="J16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5625</v>
      </c>
    </row>
    <row r="17" spans="1:10" x14ac:dyDescent="0.3">
      <c r="A17">
        <v>16</v>
      </c>
      <c r="B17" t="s">
        <v>17</v>
      </c>
      <c r="C17">
        <v>4100</v>
      </c>
      <c r="G17" t="s">
        <v>17</v>
      </c>
      <c r="H17">
        <f t="shared" si="0"/>
        <v>12600</v>
      </c>
      <c r="I17" t="str">
        <f>IF(Table3[[#This Row],[TotalSales]]&gt;=20000,"Completed","Incomplete")</f>
        <v>Incomplete</v>
      </c>
      <c r="J17" cm="1">
        <f t="array" ref="J17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2520</v>
      </c>
    </row>
    <row r="18" spans="1:10" x14ac:dyDescent="0.3">
      <c r="A18">
        <v>17</v>
      </c>
      <c r="B18" t="s">
        <v>18</v>
      </c>
      <c r="C18">
        <v>7600</v>
      </c>
      <c r="G18" t="s">
        <v>18</v>
      </c>
      <c r="H18">
        <f t="shared" si="0"/>
        <v>23400</v>
      </c>
      <c r="I18" t="str">
        <f>IF(Table3[[#This Row],[TotalSales]]&gt;=20000,"Completed","Incomplete")</f>
        <v>Completed</v>
      </c>
      <c r="J18" cm="1">
        <f t="array" ref="J18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5850</v>
      </c>
    </row>
    <row r="19" spans="1:10" x14ac:dyDescent="0.3">
      <c r="A19">
        <v>18</v>
      </c>
      <c r="B19" t="s">
        <v>19</v>
      </c>
      <c r="C19">
        <v>3500</v>
      </c>
      <c r="G19" t="s">
        <v>19</v>
      </c>
      <c r="H19">
        <f t="shared" si="0"/>
        <v>10800</v>
      </c>
      <c r="I19" t="str">
        <f>IF(Table3[[#This Row],[TotalSales]]&gt;=20000,"Completed","Incomplete")</f>
        <v>Incomplete</v>
      </c>
      <c r="J19" cm="1">
        <f t="array" ref="J19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2160</v>
      </c>
    </row>
    <row r="20" spans="1:10" x14ac:dyDescent="0.3">
      <c r="A20">
        <v>19</v>
      </c>
      <c r="B20" t="s">
        <v>20</v>
      </c>
      <c r="C20">
        <v>6100</v>
      </c>
      <c r="G20" t="s">
        <v>20</v>
      </c>
      <c r="H20">
        <f t="shared" si="0"/>
        <v>18900</v>
      </c>
      <c r="I20" t="str">
        <f>IF(Table3[[#This Row],[TotalSales]]&gt;=20000,"Completed","Incomplete")</f>
        <v>Incomplete</v>
      </c>
      <c r="J20" cm="1">
        <f t="array" ref="J20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3780</v>
      </c>
    </row>
    <row r="21" spans="1:10" x14ac:dyDescent="0.3">
      <c r="A21">
        <v>20</v>
      </c>
      <c r="B21" t="s">
        <v>21</v>
      </c>
      <c r="C21">
        <v>6700</v>
      </c>
      <c r="G21" t="s">
        <v>21</v>
      </c>
      <c r="H21">
        <f t="shared" si="0"/>
        <v>20700</v>
      </c>
      <c r="I21" t="str">
        <f>IF(Table3[[#This Row],[TotalSales]]&gt;=20000,"Completed","Incomplete")</f>
        <v>Completed</v>
      </c>
      <c r="J21" cm="1">
        <f t="array" ref="J21">_xlfn.IFS(Table3[[#This Row],[TotalSales]]&gt;20000,Table3[[#This Row],[TotalSales]]*25%,Table3[[#This Row],[TotalSales]]&lt;20000,Table3[[#This Row],[TotalSales]]*20%,Table3[[#This Row],[TotalSales]]&lt;15000,Table3[[#This Row],[TotalSales]]*15%,Table3[[#This Row],[TotalSales]]&lt;10000,Table3[[#This Row],[TotalSales]]*10%)</f>
        <v>5175</v>
      </c>
    </row>
    <row r="22" spans="1:10" x14ac:dyDescent="0.3">
      <c r="A22">
        <v>21</v>
      </c>
      <c r="B22" t="s">
        <v>2</v>
      </c>
      <c r="C22">
        <v>6200</v>
      </c>
    </row>
    <row r="23" spans="1:10" x14ac:dyDescent="0.3">
      <c r="A23">
        <v>22</v>
      </c>
      <c r="B23" t="s">
        <v>3</v>
      </c>
      <c r="C23">
        <v>4500</v>
      </c>
      <c r="G23" t="s">
        <v>22</v>
      </c>
      <c r="H23">
        <f>SUM(H2:H21)</f>
        <v>352000</v>
      </c>
      <c r="J23">
        <f>SUM(Table3[Incentives])</f>
        <v>79525</v>
      </c>
    </row>
    <row r="24" spans="1:10" x14ac:dyDescent="0.3">
      <c r="A24">
        <v>23</v>
      </c>
      <c r="B24" t="s">
        <v>5</v>
      </c>
      <c r="C24">
        <v>3000</v>
      </c>
    </row>
    <row r="25" spans="1:10" x14ac:dyDescent="0.3">
      <c r="A25">
        <v>24</v>
      </c>
      <c r="B25" t="s">
        <v>4</v>
      </c>
      <c r="C25">
        <v>7400</v>
      </c>
    </row>
    <row r="26" spans="1:10" x14ac:dyDescent="0.3">
      <c r="A26">
        <v>25</v>
      </c>
      <c r="B26" t="s">
        <v>6</v>
      </c>
      <c r="C26">
        <v>8200</v>
      </c>
    </row>
    <row r="27" spans="1:10" x14ac:dyDescent="0.3">
      <c r="A27">
        <v>26</v>
      </c>
      <c r="B27" t="s">
        <v>7</v>
      </c>
      <c r="C27">
        <v>3800</v>
      </c>
    </row>
    <row r="28" spans="1:10" x14ac:dyDescent="0.3">
      <c r="A28">
        <v>27</v>
      </c>
      <c r="B28" t="s">
        <v>8</v>
      </c>
      <c r="C28">
        <v>5900</v>
      </c>
    </row>
    <row r="29" spans="1:10" x14ac:dyDescent="0.3">
      <c r="A29">
        <v>28</v>
      </c>
      <c r="B29" t="s">
        <v>9</v>
      </c>
      <c r="C29">
        <v>7700</v>
      </c>
    </row>
    <row r="30" spans="1:10" x14ac:dyDescent="0.3">
      <c r="A30">
        <v>29</v>
      </c>
      <c r="B30" t="s">
        <v>10</v>
      </c>
      <c r="C30">
        <v>4300</v>
      </c>
    </row>
    <row r="31" spans="1:10" x14ac:dyDescent="0.3">
      <c r="A31">
        <v>30</v>
      </c>
      <c r="B31" t="s">
        <v>11</v>
      </c>
      <c r="C31">
        <v>4800</v>
      </c>
    </row>
    <row r="32" spans="1:10" x14ac:dyDescent="0.3">
      <c r="A32">
        <v>31</v>
      </c>
      <c r="B32" t="s">
        <v>12</v>
      </c>
      <c r="C32">
        <v>3700</v>
      </c>
    </row>
    <row r="33" spans="1:3" x14ac:dyDescent="0.3">
      <c r="A33">
        <v>32</v>
      </c>
      <c r="B33" t="s">
        <v>13</v>
      </c>
      <c r="C33">
        <v>6500</v>
      </c>
    </row>
    <row r="34" spans="1:3" x14ac:dyDescent="0.3">
      <c r="A34">
        <v>33</v>
      </c>
      <c r="B34" t="s">
        <v>14</v>
      </c>
      <c r="C34">
        <v>6000</v>
      </c>
    </row>
    <row r="35" spans="1:3" x14ac:dyDescent="0.3">
      <c r="A35">
        <v>34</v>
      </c>
      <c r="B35" t="s">
        <v>15</v>
      </c>
      <c r="C35">
        <v>7100</v>
      </c>
    </row>
    <row r="36" spans="1:3" x14ac:dyDescent="0.3">
      <c r="A36">
        <v>35</v>
      </c>
      <c r="B36" t="s">
        <v>16</v>
      </c>
      <c r="C36">
        <v>7500</v>
      </c>
    </row>
    <row r="37" spans="1:3" x14ac:dyDescent="0.3">
      <c r="A37">
        <v>36</v>
      </c>
      <c r="B37" t="s">
        <v>17</v>
      </c>
      <c r="C37">
        <v>4200</v>
      </c>
    </row>
    <row r="38" spans="1:3" x14ac:dyDescent="0.3">
      <c r="A38">
        <v>37</v>
      </c>
      <c r="B38" t="s">
        <v>18</v>
      </c>
      <c r="C38">
        <v>7800</v>
      </c>
    </row>
    <row r="39" spans="1:3" x14ac:dyDescent="0.3">
      <c r="A39">
        <v>38</v>
      </c>
      <c r="B39" t="s">
        <v>19</v>
      </c>
      <c r="C39">
        <v>3600</v>
      </c>
    </row>
    <row r="40" spans="1:3" x14ac:dyDescent="0.3">
      <c r="A40">
        <v>39</v>
      </c>
      <c r="B40" t="s">
        <v>20</v>
      </c>
      <c r="C40">
        <v>6300</v>
      </c>
    </row>
    <row r="41" spans="1:3" x14ac:dyDescent="0.3">
      <c r="A41">
        <v>40</v>
      </c>
      <c r="B41" t="s">
        <v>21</v>
      </c>
      <c r="C41">
        <v>6900</v>
      </c>
    </row>
    <row r="42" spans="1:3" x14ac:dyDescent="0.3">
      <c r="A42">
        <v>41</v>
      </c>
      <c r="B42" t="s">
        <v>2</v>
      </c>
      <c r="C42">
        <v>5400</v>
      </c>
    </row>
    <row r="43" spans="1:3" x14ac:dyDescent="0.3">
      <c r="A43">
        <v>42</v>
      </c>
      <c r="B43" t="s">
        <v>3</v>
      </c>
      <c r="C43">
        <v>4600</v>
      </c>
    </row>
    <row r="44" spans="1:3" x14ac:dyDescent="0.3">
      <c r="A44">
        <v>43</v>
      </c>
      <c r="B44" t="s">
        <v>5</v>
      </c>
      <c r="C44">
        <v>3200</v>
      </c>
    </row>
    <row r="45" spans="1:3" x14ac:dyDescent="0.3">
      <c r="A45">
        <v>44</v>
      </c>
      <c r="B45" t="s">
        <v>4</v>
      </c>
      <c r="C45">
        <v>7600</v>
      </c>
    </row>
    <row r="46" spans="1:3" x14ac:dyDescent="0.3">
      <c r="A46">
        <v>45</v>
      </c>
      <c r="B46" t="s">
        <v>6</v>
      </c>
      <c r="C46">
        <v>8400</v>
      </c>
    </row>
    <row r="47" spans="1:3" x14ac:dyDescent="0.3">
      <c r="A47">
        <v>46</v>
      </c>
      <c r="B47" t="s">
        <v>7</v>
      </c>
      <c r="C47">
        <v>4000</v>
      </c>
    </row>
    <row r="48" spans="1:3" x14ac:dyDescent="0.3">
      <c r="A48">
        <v>47</v>
      </c>
      <c r="B48" t="s">
        <v>8</v>
      </c>
      <c r="C48">
        <v>6100</v>
      </c>
    </row>
    <row r="49" spans="1:3" x14ac:dyDescent="0.3">
      <c r="A49">
        <v>48</v>
      </c>
      <c r="B49" t="s">
        <v>9</v>
      </c>
      <c r="C49">
        <v>7900</v>
      </c>
    </row>
    <row r="50" spans="1:3" x14ac:dyDescent="0.3">
      <c r="A50">
        <v>49</v>
      </c>
      <c r="B50" t="s">
        <v>10</v>
      </c>
      <c r="C50">
        <v>4400</v>
      </c>
    </row>
    <row r="51" spans="1:3" x14ac:dyDescent="0.3">
      <c r="A51">
        <v>50</v>
      </c>
      <c r="B51" t="s">
        <v>11</v>
      </c>
      <c r="C51">
        <v>5000</v>
      </c>
    </row>
    <row r="52" spans="1:3" x14ac:dyDescent="0.3">
      <c r="A52">
        <v>51</v>
      </c>
      <c r="B52" t="s">
        <v>12</v>
      </c>
      <c r="C52">
        <v>3800</v>
      </c>
    </row>
    <row r="53" spans="1:3" x14ac:dyDescent="0.3">
      <c r="A53">
        <v>52</v>
      </c>
      <c r="B53" t="s">
        <v>13</v>
      </c>
      <c r="C53">
        <v>6600</v>
      </c>
    </row>
    <row r="54" spans="1:3" x14ac:dyDescent="0.3">
      <c r="A54">
        <v>53</v>
      </c>
      <c r="B54" t="s">
        <v>14</v>
      </c>
      <c r="C54">
        <v>6200</v>
      </c>
    </row>
    <row r="55" spans="1:3" x14ac:dyDescent="0.3">
      <c r="A55">
        <v>54</v>
      </c>
      <c r="B55" t="s">
        <v>15</v>
      </c>
      <c r="C55">
        <v>7200</v>
      </c>
    </row>
    <row r="56" spans="1:3" x14ac:dyDescent="0.3">
      <c r="A56">
        <v>55</v>
      </c>
      <c r="B56" t="s">
        <v>16</v>
      </c>
      <c r="C56">
        <v>7700</v>
      </c>
    </row>
    <row r="57" spans="1:3" x14ac:dyDescent="0.3">
      <c r="A57">
        <v>56</v>
      </c>
      <c r="B57" t="s">
        <v>17</v>
      </c>
      <c r="C57">
        <v>4300</v>
      </c>
    </row>
    <row r="58" spans="1:3" x14ac:dyDescent="0.3">
      <c r="A58">
        <v>57</v>
      </c>
      <c r="B58" t="s">
        <v>18</v>
      </c>
      <c r="C58">
        <v>8000</v>
      </c>
    </row>
    <row r="59" spans="1:3" x14ac:dyDescent="0.3">
      <c r="A59">
        <v>58</v>
      </c>
      <c r="B59" t="s">
        <v>19</v>
      </c>
      <c r="C59">
        <v>3700</v>
      </c>
    </row>
    <row r="60" spans="1:3" x14ac:dyDescent="0.3">
      <c r="A60">
        <v>59</v>
      </c>
      <c r="B60" t="s">
        <v>20</v>
      </c>
      <c r="C60">
        <v>6500</v>
      </c>
    </row>
    <row r="61" spans="1:3" x14ac:dyDescent="0.3">
      <c r="A61">
        <v>60</v>
      </c>
      <c r="B61" t="s">
        <v>21</v>
      </c>
      <c r="C61">
        <v>7100</v>
      </c>
    </row>
    <row r="63" spans="1:3" x14ac:dyDescent="0.3">
      <c r="B63" t="s">
        <v>22</v>
      </c>
      <c r="C63">
        <f>SUM(C2:C61)</f>
        <v>352000</v>
      </c>
    </row>
  </sheetData>
  <mergeCells count="1">
    <mergeCell ref="O8:S8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EB50-5327-40FF-82AC-116FFA73EB30}">
  <dimension ref="A1:T31"/>
  <sheetViews>
    <sheetView tabSelected="1" topLeftCell="A3" workbookViewId="0">
      <selection activeCell="G15" sqref="G15"/>
    </sheetView>
  </sheetViews>
  <sheetFormatPr defaultRowHeight="14.4" x14ac:dyDescent="0.3"/>
  <cols>
    <col min="1" max="1" width="15.44140625" bestFit="1" customWidth="1"/>
    <col min="2" max="2" width="24.33203125" bestFit="1" customWidth="1"/>
    <col min="3" max="3" width="15.88671875" bestFit="1" customWidth="1"/>
    <col min="4" max="4" width="10.5546875" bestFit="1" customWidth="1"/>
    <col min="5" max="5" width="13.5546875" bestFit="1" customWidth="1"/>
    <col min="6" max="6" width="19.109375" bestFit="1" customWidth="1"/>
    <col min="7" max="7" width="18.21875" bestFit="1" customWidth="1"/>
  </cols>
  <sheetData>
    <row r="1" spans="1:20" x14ac:dyDescent="0.3">
      <c r="A1" s="6" t="s">
        <v>41</v>
      </c>
      <c r="B1" s="6" t="s">
        <v>42</v>
      </c>
      <c r="C1" s="6" t="s">
        <v>80</v>
      </c>
      <c r="D1" s="6" t="s">
        <v>43</v>
      </c>
      <c r="E1" s="6" t="s">
        <v>83</v>
      </c>
      <c r="F1" s="6" t="s">
        <v>81</v>
      </c>
      <c r="G1" s="13" t="s">
        <v>82</v>
      </c>
      <c r="O1" s="9" t="s">
        <v>74</v>
      </c>
      <c r="P1" s="9"/>
      <c r="Q1" s="9"/>
      <c r="R1" s="9"/>
      <c r="S1" s="9"/>
      <c r="T1" s="9"/>
    </row>
    <row r="2" spans="1:20" x14ac:dyDescent="0.3">
      <c r="A2" s="6" t="s">
        <v>44</v>
      </c>
      <c r="B2" s="6" t="s">
        <v>2</v>
      </c>
      <c r="C2" s="7">
        <v>8</v>
      </c>
      <c r="D2" s="8">
        <v>45000</v>
      </c>
      <c r="E2" s="14">
        <f ca="1">RANDBETWEEN(DATE(2020,1,1),DATE(2024,12,31))</f>
        <v>43999</v>
      </c>
      <c r="F2" s="12" t="str">
        <f>LOWER(IF(AND(B2="Sales",C2&gt;=8),"PROMOTE","NO PROMOTION"))</f>
        <v>promote</v>
      </c>
      <c r="G2" t="str">
        <f>IF(OR(B2="Sales",B2="Finance",C2&gt;8),"Promotion","No Promotion")</f>
        <v>Promotion</v>
      </c>
      <c r="O2" s="11" t="s">
        <v>75</v>
      </c>
      <c r="P2" s="11"/>
      <c r="Q2" s="11"/>
      <c r="R2" s="11"/>
      <c r="S2" s="10" t="s">
        <v>76</v>
      </c>
      <c r="T2" s="10"/>
    </row>
    <row r="3" spans="1:20" x14ac:dyDescent="0.3">
      <c r="A3" s="6" t="s">
        <v>45</v>
      </c>
      <c r="B3" s="6" t="s">
        <v>3</v>
      </c>
      <c r="C3" s="7">
        <v>9</v>
      </c>
      <c r="D3" s="8">
        <v>42000</v>
      </c>
      <c r="E3" s="14">
        <f t="shared" ref="E3:E31" ca="1" si="0">RANDBETWEEN(DATE(2020,1,1),DATE(2024,12,31))</f>
        <v>44201</v>
      </c>
      <c r="F3" s="12" t="str">
        <f t="shared" ref="F3:F31" si="1">LOWER(IF(AND(B3="Sales",C3&gt;=8),"PROMOTE","NO PROMOTION"))</f>
        <v>no promotion</v>
      </c>
      <c r="G3" t="str">
        <f t="shared" ref="G3:G31" si="2">IF(OR(B3="Sales",B3="Finance",C3&gt;8),"Promotion","No Promotion")</f>
        <v>Promotion</v>
      </c>
      <c r="O3" s="10" t="s">
        <v>4</v>
      </c>
      <c r="P3" s="10"/>
      <c r="Q3" s="10" t="s">
        <v>77</v>
      </c>
      <c r="R3" s="10"/>
      <c r="S3" s="10" t="s">
        <v>78</v>
      </c>
      <c r="T3" s="10"/>
    </row>
    <row r="4" spans="1:20" x14ac:dyDescent="0.3">
      <c r="A4" s="6" t="s">
        <v>46</v>
      </c>
      <c r="B4" s="6" t="s">
        <v>4</v>
      </c>
      <c r="C4" s="7">
        <v>8</v>
      </c>
      <c r="D4" s="8">
        <v>55000</v>
      </c>
      <c r="E4" s="14">
        <f t="shared" ca="1" si="0"/>
        <v>44445</v>
      </c>
      <c r="F4" s="12" t="str">
        <f t="shared" si="1"/>
        <v>no promotion</v>
      </c>
      <c r="G4" t="str">
        <f t="shared" si="2"/>
        <v>Promotion</v>
      </c>
    </row>
    <row r="5" spans="1:20" x14ac:dyDescent="0.3">
      <c r="A5" s="6" t="s">
        <v>47</v>
      </c>
      <c r="B5" s="6" t="s">
        <v>5</v>
      </c>
      <c r="C5" s="7">
        <v>7</v>
      </c>
      <c r="D5" s="8">
        <v>40000</v>
      </c>
      <c r="E5" s="14">
        <f t="shared" ca="1" si="0"/>
        <v>45332</v>
      </c>
      <c r="F5" s="12" t="str">
        <f t="shared" si="1"/>
        <v>no promotion</v>
      </c>
      <c r="G5" t="str">
        <f t="shared" si="2"/>
        <v>No Promotion</v>
      </c>
    </row>
    <row r="6" spans="1:20" x14ac:dyDescent="0.3">
      <c r="A6" s="6" t="s">
        <v>48</v>
      </c>
      <c r="B6" s="6" t="s">
        <v>6</v>
      </c>
      <c r="C6" s="7">
        <v>9</v>
      </c>
      <c r="D6" s="8">
        <v>65000</v>
      </c>
      <c r="E6" s="14">
        <f t="shared" ca="1" si="0"/>
        <v>44082</v>
      </c>
      <c r="F6" s="12" t="str">
        <f t="shared" si="1"/>
        <v>no promotion</v>
      </c>
      <c r="G6" t="str">
        <f t="shared" si="2"/>
        <v>Promotion</v>
      </c>
    </row>
    <row r="7" spans="1:20" x14ac:dyDescent="0.3">
      <c r="A7" s="6" t="s">
        <v>49</v>
      </c>
      <c r="B7" s="6" t="s">
        <v>7</v>
      </c>
      <c r="C7" s="7">
        <v>8</v>
      </c>
      <c r="D7" s="8">
        <v>35000</v>
      </c>
      <c r="E7" s="14">
        <f t="shared" ca="1" si="0"/>
        <v>45463</v>
      </c>
      <c r="F7" s="12" t="str">
        <f t="shared" si="1"/>
        <v>no promotion</v>
      </c>
      <c r="G7" t="str">
        <f t="shared" si="2"/>
        <v>No Promotion</v>
      </c>
    </row>
    <row r="8" spans="1:20" x14ac:dyDescent="0.3">
      <c r="A8" s="6" t="s">
        <v>50</v>
      </c>
      <c r="B8" s="6" t="s">
        <v>8</v>
      </c>
      <c r="C8" s="7">
        <v>10</v>
      </c>
      <c r="D8" s="8">
        <v>50000</v>
      </c>
      <c r="E8" s="14">
        <f t="shared" ca="1" si="0"/>
        <v>44538</v>
      </c>
      <c r="F8" s="12" t="str">
        <f t="shared" si="1"/>
        <v>no promotion</v>
      </c>
      <c r="G8" t="str">
        <f t="shared" si="2"/>
        <v>Promotion</v>
      </c>
      <c r="O8" s="11" t="s">
        <v>79</v>
      </c>
      <c r="P8" s="11"/>
      <c r="Q8" s="11"/>
      <c r="R8" s="11"/>
      <c r="S8" s="10" t="s">
        <v>76</v>
      </c>
      <c r="T8" s="10"/>
    </row>
    <row r="9" spans="1:20" x14ac:dyDescent="0.3">
      <c r="A9" s="6" t="s">
        <v>51</v>
      </c>
      <c r="B9" s="6" t="s">
        <v>9</v>
      </c>
      <c r="C9" s="7">
        <v>9</v>
      </c>
      <c r="D9" s="8">
        <v>70000</v>
      </c>
      <c r="E9" s="14">
        <f t="shared" ca="1" si="0"/>
        <v>45005</v>
      </c>
      <c r="F9" s="12" t="str">
        <f t="shared" si="1"/>
        <v>no promotion</v>
      </c>
      <c r="G9" t="str">
        <f t="shared" si="2"/>
        <v>Promotion</v>
      </c>
      <c r="O9" s="10" t="s">
        <v>4</v>
      </c>
      <c r="P9" s="10"/>
      <c r="Q9" s="10" t="s">
        <v>77</v>
      </c>
      <c r="R9" s="10"/>
      <c r="S9" s="10" t="s">
        <v>78</v>
      </c>
      <c r="T9" s="10"/>
    </row>
    <row r="10" spans="1:20" x14ac:dyDescent="0.3">
      <c r="A10" s="6" t="s">
        <v>52</v>
      </c>
      <c r="B10" s="6" t="s">
        <v>10</v>
      </c>
      <c r="C10" s="7">
        <v>8</v>
      </c>
      <c r="D10" s="8">
        <v>42000</v>
      </c>
      <c r="E10" s="14">
        <f t="shared" ca="1" si="0"/>
        <v>43980</v>
      </c>
      <c r="F10" s="12" t="str">
        <f t="shared" si="1"/>
        <v>no promotion</v>
      </c>
      <c r="G10" t="str">
        <f t="shared" si="2"/>
        <v>No Promotion</v>
      </c>
    </row>
    <row r="11" spans="1:20" x14ac:dyDescent="0.3">
      <c r="A11" s="6" t="s">
        <v>53</v>
      </c>
      <c r="B11" s="6" t="s">
        <v>11</v>
      </c>
      <c r="C11" s="7">
        <v>7</v>
      </c>
      <c r="D11" s="8">
        <v>38000</v>
      </c>
      <c r="E11" s="14">
        <f t="shared" ca="1" si="0"/>
        <v>45592</v>
      </c>
      <c r="F11" s="12" t="str">
        <f t="shared" si="1"/>
        <v>no promotion</v>
      </c>
      <c r="G11" t="str">
        <f t="shared" si="2"/>
        <v>No Promotion</v>
      </c>
    </row>
    <row r="12" spans="1:20" x14ac:dyDescent="0.3">
      <c r="A12" s="6" t="s">
        <v>54</v>
      </c>
      <c r="B12" s="6" t="s">
        <v>12</v>
      </c>
      <c r="C12" s="7">
        <v>8</v>
      </c>
      <c r="D12" s="8">
        <v>36000</v>
      </c>
      <c r="E12" s="14">
        <f t="shared" ca="1" si="0"/>
        <v>44823</v>
      </c>
      <c r="F12" s="12" t="str">
        <f t="shared" si="1"/>
        <v>no promotion</v>
      </c>
      <c r="G12" t="str">
        <f t="shared" si="2"/>
        <v>No Promotion</v>
      </c>
    </row>
    <row r="13" spans="1:20" x14ac:dyDescent="0.3">
      <c r="A13" s="6" t="s">
        <v>55</v>
      </c>
      <c r="B13" s="6" t="s">
        <v>13</v>
      </c>
      <c r="C13" s="7">
        <v>9</v>
      </c>
      <c r="D13" s="8">
        <v>60000</v>
      </c>
      <c r="E13" s="14">
        <f t="shared" ca="1" si="0"/>
        <v>44949</v>
      </c>
      <c r="F13" s="12" t="str">
        <f t="shared" si="1"/>
        <v>no promotion</v>
      </c>
      <c r="G13" t="str">
        <f t="shared" si="2"/>
        <v>Promotion</v>
      </c>
    </row>
    <row r="14" spans="1:20" x14ac:dyDescent="0.3">
      <c r="A14" s="6" t="s">
        <v>56</v>
      </c>
      <c r="B14" s="6" t="s">
        <v>14</v>
      </c>
      <c r="C14" s="7">
        <v>8</v>
      </c>
      <c r="D14" s="8">
        <v>48000</v>
      </c>
      <c r="E14" s="14">
        <f t="shared" ca="1" si="0"/>
        <v>44194</v>
      </c>
      <c r="F14" s="12" t="str">
        <f t="shared" si="1"/>
        <v>no promotion</v>
      </c>
      <c r="G14" t="str">
        <f t="shared" si="2"/>
        <v>No Promotion</v>
      </c>
    </row>
    <row r="15" spans="1:20" x14ac:dyDescent="0.3">
      <c r="A15" s="6" t="s">
        <v>57</v>
      </c>
      <c r="B15" s="6" t="s">
        <v>15</v>
      </c>
      <c r="C15" s="7">
        <v>9</v>
      </c>
      <c r="D15" s="8">
        <v>62000</v>
      </c>
      <c r="E15" s="14">
        <f t="shared" ca="1" si="0"/>
        <v>45171</v>
      </c>
      <c r="F15" s="12" t="str">
        <f t="shared" si="1"/>
        <v>no promotion</v>
      </c>
      <c r="G15" t="str">
        <f>IF(OR(B15="Sales",B15="Finance",C15&gt;8),"Promotion","No Promotion")</f>
        <v>Promotion</v>
      </c>
    </row>
    <row r="16" spans="1:20" x14ac:dyDescent="0.3">
      <c r="A16" s="6" t="s">
        <v>58</v>
      </c>
      <c r="B16" s="6" t="s">
        <v>16</v>
      </c>
      <c r="C16" s="7">
        <v>10</v>
      </c>
      <c r="D16" s="8">
        <v>58000</v>
      </c>
      <c r="E16" s="14">
        <f t="shared" ca="1" si="0"/>
        <v>43999</v>
      </c>
      <c r="F16" s="12" t="str">
        <f t="shared" si="1"/>
        <v>no promotion</v>
      </c>
      <c r="G16" t="str">
        <f t="shared" si="2"/>
        <v>Promotion</v>
      </c>
    </row>
    <row r="17" spans="1:7" x14ac:dyDescent="0.3">
      <c r="A17" s="6" t="s">
        <v>59</v>
      </c>
      <c r="B17" s="6" t="s">
        <v>17</v>
      </c>
      <c r="C17" s="7">
        <v>8</v>
      </c>
      <c r="D17" s="8">
        <v>41000</v>
      </c>
      <c r="E17" s="14">
        <f t="shared" ca="1" si="0"/>
        <v>45212</v>
      </c>
      <c r="F17" s="12" t="str">
        <f t="shared" si="1"/>
        <v>no promotion</v>
      </c>
      <c r="G17" t="str">
        <f t="shared" si="2"/>
        <v>No Promotion</v>
      </c>
    </row>
    <row r="18" spans="1:7" x14ac:dyDescent="0.3">
      <c r="A18" s="6" t="s">
        <v>60</v>
      </c>
      <c r="B18" s="6" t="s">
        <v>18</v>
      </c>
      <c r="C18" s="7">
        <v>9</v>
      </c>
      <c r="D18" s="8">
        <v>67000</v>
      </c>
      <c r="E18" s="14">
        <f t="shared" ca="1" si="0"/>
        <v>44492</v>
      </c>
      <c r="F18" s="12" t="str">
        <f t="shared" si="1"/>
        <v>no promotion</v>
      </c>
      <c r="G18" t="str">
        <f t="shared" si="2"/>
        <v>Promotion</v>
      </c>
    </row>
    <row r="19" spans="1:7" x14ac:dyDescent="0.3">
      <c r="A19" s="6" t="s">
        <v>61</v>
      </c>
      <c r="B19" s="6" t="s">
        <v>19</v>
      </c>
      <c r="C19" s="7">
        <v>7</v>
      </c>
      <c r="D19" s="8">
        <v>39000</v>
      </c>
      <c r="E19" s="14">
        <f t="shared" ca="1" si="0"/>
        <v>44283</v>
      </c>
      <c r="F19" s="12" t="str">
        <f t="shared" si="1"/>
        <v>no promotion</v>
      </c>
      <c r="G19" t="str">
        <f t="shared" si="2"/>
        <v>No Promotion</v>
      </c>
    </row>
    <row r="20" spans="1:7" x14ac:dyDescent="0.3">
      <c r="A20" s="6" t="s">
        <v>62</v>
      </c>
      <c r="B20" s="6" t="s">
        <v>20</v>
      </c>
      <c r="C20" s="7">
        <v>8</v>
      </c>
      <c r="D20" s="8">
        <v>52000</v>
      </c>
      <c r="E20" s="14">
        <f t="shared" ca="1" si="0"/>
        <v>45250</v>
      </c>
      <c r="F20" s="12" t="str">
        <f t="shared" si="1"/>
        <v>no promotion</v>
      </c>
      <c r="G20" t="str">
        <f t="shared" si="2"/>
        <v>No Promotion</v>
      </c>
    </row>
    <row r="21" spans="1:7" x14ac:dyDescent="0.3">
      <c r="A21" s="6" t="s">
        <v>63</v>
      </c>
      <c r="B21" s="6" t="s">
        <v>21</v>
      </c>
      <c r="C21" s="7">
        <v>9</v>
      </c>
      <c r="D21" s="8">
        <v>61000</v>
      </c>
      <c r="E21" s="14">
        <f t="shared" ca="1" si="0"/>
        <v>44410</v>
      </c>
      <c r="F21" s="12" t="str">
        <f t="shared" si="1"/>
        <v>no promotion</v>
      </c>
      <c r="G21" t="str">
        <f t="shared" si="2"/>
        <v>Promotion</v>
      </c>
    </row>
    <row r="22" spans="1:7" x14ac:dyDescent="0.3">
      <c r="A22" s="6" t="s">
        <v>64</v>
      </c>
      <c r="B22" s="6" t="s">
        <v>2</v>
      </c>
      <c r="C22" s="7">
        <v>10</v>
      </c>
      <c r="D22" s="8">
        <v>47000</v>
      </c>
      <c r="E22" s="14">
        <f t="shared" ca="1" si="0"/>
        <v>45263</v>
      </c>
      <c r="F22" s="12" t="str">
        <f t="shared" si="1"/>
        <v>promote</v>
      </c>
      <c r="G22" t="str">
        <f t="shared" si="2"/>
        <v>Promotion</v>
      </c>
    </row>
    <row r="23" spans="1:7" x14ac:dyDescent="0.3">
      <c r="A23" s="6" t="s">
        <v>65</v>
      </c>
      <c r="B23" s="6" t="s">
        <v>3</v>
      </c>
      <c r="C23" s="7">
        <v>8</v>
      </c>
      <c r="D23" s="8">
        <v>43000</v>
      </c>
      <c r="E23" s="14">
        <f t="shared" ca="1" si="0"/>
        <v>44608</v>
      </c>
      <c r="F23" s="12" t="str">
        <f t="shared" si="1"/>
        <v>no promotion</v>
      </c>
      <c r="G23" t="str">
        <f t="shared" si="2"/>
        <v>No Promotion</v>
      </c>
    </row>
    <row r="24" spans="1:7" x14ac:dyDescent="0.3">
      <c r="A24" s="6" t="s">
        <v>66</v>
      </c>
      <c r="B24" s="6" t="s">
        <v>4</v>
      </c>
      <c r="C24" s="7">
        <v>9</v>
      </c>
      <c r="D24" s="8">
        <v>56000</v>
      </c>
      <c r="E24" s="14">
        <f t="shared" ca="1" si="0"/>
        <v>44629</v>
      </c>
      <c r="F24" s="12" t="str">
        <f t="shared" si="1"/>
        <v>no promotion</v>
      </c>
      <c r="G24" t="str">
        <f t="shared" si="2"/>
        <v>Promotion</v>
      </c>
    </row>
    <row r="25" spans="1:7" x14ac:dyDescent="0.3">
      <c r="A25" s="6" t="s">
        <v>67</v>
      </c>
      <c r="B25" s="6" t="s">
        <v>5</v>
      </c>
      <c r="C25" s="7">
        <v>8</v>
      </c>
      <c r="D25" s="8">
        <v>41000</v>
      </c>
      <c r="E25" s="14">
        <f t="shared" ca="1" si="0"/>
        <v>45596</v>
      </c>
      <c r="F25" s="12" t="str">
        <f t="shared" si="1"/>
        <v>no promotion</v>
      </c>
      <c r="G25" t="str">
        <f t="shared" si="2"/>
        <v>No Promotion</v>
      </c>
    </row>
    <row r="26" spans="1:7" x14ac:dyDescent="0.3">
      <c r="A26" s="6" t="s">
        <v>68</v>
      </c>
      <c r="B26" s="6" t="s">
        <v>6</v>
      </c>
      <c r="C26" s="7">
        <v>10</v>
      </c>
      <c r="D26" s="8">
        <v>68000</v>
      </c>
      <c r="E26" s="14">
        <f t="shared" ca="1" si="0"/>
        <v>44983</v>
      </c>
      <c r="F26" s="12" t="str">
        <f t="shared" si="1"/>
        <v>no promotion</v>
      </c>
      <c r="G26" t="str">
        <f t="shared" si="2"/>
        <v>Promotion</v>
      </c>
    </row>
    <row r="27" spans="1:7" x14ac:dyDescent="0.3">
      <c r="A27" s="6" t="s">
        <v>69</v>
      </c>
      <c r="B27" s="6" t="s">
        <v>7</v>
      </c>
      <c r="C27" s="7">
        <v>7</v>
      </c>
      <c r="D27" s="8">
        <v>34000</v>
      </c>
      <c r="E27" s="14">
        <f t="shared" ca="1" si="0"/>
        <v>45532</v>
      </c>
      <c r="F27" s="12" t="str">
        <f t="shared" si="1"/>
        <v>no promotion</v>
      </c>
      <c r="G27" t="str">
        <f t="shared" si="2"/>
        <v>No Promotion</v>
      </c>
    </row>
    <row r="28" spans="1:7" x14ac:dyDescent="0.3">
      <c r="A28" s="6" t="s">
        <v>70</v>
      </c>
      <c r="B28" s="6" t="s">
        <v>8</v>
      </c>
      <c r="C28" s="7">
        <v>9</v>
      </c>
      <c r="D28" s="8">
        <v>51000</v>
      </c>
      <c r="E28" s="14">
        <f t="shared" ca="1" si="0"/>
        <v>43863</v>
      </c>
      <c r="F28" s="12" t="str">
        <f t="shared" si="1"/>
        <v>no promotion</v>
      </c>
      <c r="G28" t="str">
        <f t="shared" si="2"/>
        <v>Promotion</v>
      </c>
    </row>
    <row r="29" spans="1:7" x14ac:dyDescent="0.3">
      <c r="A29" s="6" t="s">
        <v>71</v>
      </c>
      <c r="B29" s="6" t="s">
        <v>9</v>
      </c>
      <c r="C29" s="7">
        <v>8</v>
      </c>
      <c r="D29" s="8">
        <v>72000</v>
      </c>
      <c r="E29" s="14">
        <f t="shared" ca="1" si="0"/>
        <v>44716</v>
      </c>
      <c r="F29" s="12" t="str">
        <f t="shared" si="1"/>
        <v>no promotion</v>
      </c>
      <c r="G29" t="str">
        <f t="shared" si="2"/>
        <v>No Promotion</v>
      </c>
    </row>
    <row r="30" spans="1:7" x14ac:dyDescent="0.3">
      <c r="A30" s="6" t="s">
        <v>72</v>
      </c>
      <c r="B30" s="6" t="s">
        <v>10</v>
      </c>
      <c r="C30" s="7">
        <v>8</v>
      </c>
      <c r="D30" s="8">
        <v>43000</v>
      </c>
      <c r="E30" s="14">
        <f t="shared" ca="1" si="0"/>
        <v>45322</v>
      </c>
      <c r="F30" s="12" t="str">
        <f t="shared" si="1"/>
        <v>no promotion</v>
      </c>
      <c r="G30" t="str">
        <f t="shared" si="2"/>
        <v>No Promotion</v>
      </c>
    </row>
    <row r="31" spans="1:7" x14ac:dyDescent="0.3">
      <c r="A31" s="6" t="s">
        <v>73</v>
      </c>
      <c r="B31" s="6" t="s">
        <v>11</v>
      </c>
      <c r="C31" s="7">
        <v>9</v>
      </c>
      <c r="D31" s="8">
        <v>39000</v>
      </c>
      <c r="E31" s="14">
        <f t="shared" ca="1" si="0"/>
        <v>45498</v>
      </c>
      <c r="F31" s="12" t="str">
        <f t="shared" si="1"/>
        <v>no promotion</v>
      </c>
      <c r="G31" t="str">
        <f t="shared" si="2"/>
        <v>Promotion</v>
      </c>
    </row>
  </sheetData>
  <mergeCells count="11">
    <mergeCell ref="O8:R8"/>
    <mergeCell ref="S8:T8"/>
    <mergeCell ref="O9:P9"/>
    <mergeCell ref="Q9:R9"/>
    <mergeCell ref="S9:T9"/>
    <mergeCell ref="O1:T1"/>
    <mergeCell ref="O2:R2"/>
    <mergeCell ref="S2:T2"/>
    <mergeCell ref="S3:T3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IFS_IF_FUNCTIONS</vt:lpstr>
      <vt:lpstr>AND_and_OR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2026-03-05T21:45:05Z</dcterms:created>
  <dcterms:modified xsi:type="dcterms:W3CDTF">2026-03-05T22:36:41Z</dcterms:modified>
</cp:coreProperties>
</file>