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0" documentId="8_{8DE3E7C2-EEF3-4988-BAB6-0AF46B30DE25}" xr6:coauthVersionLast="47" xr6:coauthVersionMax="47" xr10:uidLastSave="{00000000-0000-0000-0000-000000000000}"/>
  <bookViews>
    <workbookView xWindow="-108" yWindow="-108" windowWidth="23256" windowHeight="13176" xr2:uid="{1F448D18-469D-4598-91A9-07304CD19A62}"/>
  </bookViews>
  <sheets>
    <sheet name="CUSTOMERS_DATA" sheetId="1" r:id="rId1"/>
    <sheet name="OFFSET" sheetId="2" r:id="rId2"/>
  </sheets>
  <definedNames>
    <definedName name="CustomerDynamicTable" comment="This is the Dynamic table of the Customer Data Set , which is derived from the offset formula..">OFFSET(CUSTOMERS_DATA!$A$1,0,0,COUNTA(CUSTOMERS_DATA!$A:$A),COUNTA(CUSTOMERS_DATA!$1:$1))</definedName>
    <definedName name="CustomersDynamicTable">OFFSET(CUSTOMERS_DATA!$A$1,0,0,CUSTOMERS_DATA!$A:$A,CUSTOMERS_DATA!$1:$1)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G2" i="2"/>
  <c r="I2" i="1" a="1"/>
  <c r="G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<sst xmlns="http://schemas.openxmlformats.org/spreadsheetml/2006/main" count="311" uniqueCount="164">
  <si>
    <t>OrderId</t>
  </si>
  <si>
    <t>Order Date</t>
  </si>
  <si>
    <t>Customer Name</t>
  </si>
  <si>
    <t>State</t>
  </si>
  <si>
    <t>City</t>
  </si>
  <si>
    <t>Region</t>
  </si>
  <si>
    <t>Sales</t>
  </si>
  <si>
    <t>Profit</t>
  </si>
  <si>
    <t>KL-2018-231012</t>
  </si>
  <si>
    <t>Riya Sharma</t>
  </si>
  <si>
    <t>Maharashtra</t>
  </si>
  <si>
    <t>Mumbai</t>
  </si>
  <si>
    <t>West</t>
  </si>
  <si>
    <t>KL-2018-452178</t>
  </si>
  <si>
    <t>Arjun Mehta</t>
  </si>
  <si>
    <t>Delhi</t>
  </si>
  <si>
    <t>New Delhi</t>
  </si>
  <si>
    <t>North</t>
  </si>
  <si>
    <t>KL-2019-118945</t>
  </si>
  <si>
    <t>Sneha Verma</t>
  </si>
  <si>
    <t>Karnataka</t>
  </si>
  <si>
    <t>Bangalore</t>
  </si>
  <si>
    <t>South</t>
  </si>
  <si>
    <t>KL-2019-775421</t>
  </si>
  <si>
    <t>Rohit Singh</t>
  </si>
  <si>
    <t>Uttar Pradesh</t>
  </si>
  <si>
    <t>Lucknow</t>
  </si>
  <si>
    <t>KL-2020-342190</t>
  </si>
  <si>
    <t>Neha Patel</t>
  </si>
  <si>
    <t>Gujarat</t>
  </si>
  <si>
    <t>Ahmedabad</t>
  </si>
  <si>
    <t>KL-2020-908712</t>
  </si>
  <si>
    <t>Vikram Joshi</t>
  </si>
  <si>
    <t>Rajasthan</t>
  </si>
  <si>
    <t>Jaipur</t>
  </si>
  <si>
    <t>KL-2021-561234</t>
  </si>
  <si>
    <t>Pooja Nair</t>
  </si>
  <si>
    <t>Kerala</t>
  </si>
  <si>
    <t>Kochi</t>
  </si>
  <si>
    <t>KL-2021-882301</t>
  </si>
  <si>
    <t>Karan Malhotra</t>
  </si>
  <si>
    <t>Punjab</t>
  </si>
  <si>
    <t>Chandigarh</t>
  </si>
  <si>
    <t>KL-2022-112345</t>
  </si>
  <si>
    <t>Ananya Gupta</t>
  </si>
  <si>
    <t>West Bengal</t>
  </si>
  <si>
    <t>Kolkata</t>
  </si>
  <si>
    <t>East</t>
  </si>
  <si>
    <t>KL-2022-778899</t>
  </si>
  <si>
    <t>Rahul Kapoor</t>
  </si>
  <si>
    <t>Haryana</t>
  </si>
  <si>
    <t>Gurgaon</t>
  </si>
  <si>
    <t>KL-2023-445566</t>
  </si>
  <si>
    <t>Meera Iyer</t>
  </si>
  <si>
    <t>Tamil Nadu</t>
  </si>
  <si>
    <t>Chennai</t>
  </si>
  <si>
    <t>KL-2023-990011</t>
  </si>
  <si>
    <t>Aditya Rao</t>
  </si>
  <si>
    <t>Telangana</t>
  </si>
  <si>
    <t>Hyderabad</t>
  </si>
  <si>
    <t>KL-2024-223344</t>
  </si>
  <si>
    <t>Simran Kaur</t>
  </si>
  <si>
    <t>Ludhiana</t>
  </si>
  <si>
    <t>KL-2024-556677</t>
  </si>
  <si>
    <t>Amit Tiwari</t>
  </si>
  <si>
    <t>Kanpur</t>
  </si>
  <si>
    <t>KL-2025-101112</t>
  </si>
  <si>
    <t>Kavya Reddy</t>
  </si>
  <si>
    <t>Andhra Pradesh</t>
  </si>
  <si>
    <t>Vijayawada</t>
  </si>
  <si>
    <t>KL-2025-202500</t>
  </si>
  <si>
    <t>Saurabh Jain</t>
  </si>
  <si>
    <t>Madhya Pradesh</t>
  </si>
  <si>
    <t>Indore</t>
  </si>
  <si>
    <t>Central</t>
  </si>
  <si>
    <t>KL-2018-334455</t>
  </si>
  <si>
    <t>Ankit Sharma</t>
  </si>
  <si>
    <t>KL-2018-778812</t>
  </si>
  <si>
    <t>Priya Nair</t>
  </si>
  <si>
    <t>KL-2019-120987</t>
  </si>
  <si>
    <t>Rahul Verma</t>
  </si>
  <si>
    <t>Noida</t>
  </si>
  <si>
    <t>KL-2019-654321</t>
  </si>
  <si>
    <t>Sakshi Gupta</t>
  </si>
  <si>
    <t>Pune</t>
  </si>
  <si>
    <t>KL-2020-345678</t>
  </si>
  <si>
    <t>Manoj Yadav</t>
  </si>
  <si>
    <t>Bihar</t>
  </si>
  <si>
    <t>Patna</t>
  </si>
  <si>
    <t>KL-2020-987654</t>
  </si>
  <si>
    <t>Divya Iyer</t>
  </si>
  <si>
    <t>KL-2021-456123</t>
  </si>
  <si>
    <t>Kunal Mehta</t>
  </si>
  <si>
    <t>KL-2021-789321</t>
  </si>
  <si>
    <t>Neha Singh</t>
  </si>
  <si>
    <t>KL-2022-112233</t>
  </si>
  <si>
    <t>Arpit Jain</t>
  </si>
  <si>
    <t>KL-2022-445577</t>
  </si>
  <si>
    <t>Megha Das</t>
  </si>
  <si>
    <t>KL-2022-998877</t>
  </si>
  <si>
    <t>Vivek Kapoor</t>
  </si>
  <si>
    <t>KL-2023-223311</t>
  </si>
  <si>
    <t>Aditi Rao</t>
  </si>
  <si>
    <t>KL-2023-667788</t>
  </si>
  <si>
    <t>Rohan Malhotra</t>
  </si>
  <si>
    <t>Amritsar</t>
  </si>
  <si>
    <t>KL-2023-889900</t>
  </si>
  <si>
    <t>Shreya Kulkarni</t>
  </si>
  <si>
    <t>KL-2024-101213</t>
  </si>
  <si>
    <t>Nitin Arora</t>
  </si>
  <si>
    <t>Himachal Pradesh</t>
  </si>
  <si>
    <t>Shimla</t>
  </si>
  <si>
    <t>KL-2024-141516</t>
  </si>
  <si>
    <t>Kritika Sharma</t>
  </si>
  <si>
    <t>Uttarakhand</t>
  </si>
  <si>
    <t>Dehradun</t>
  </si>
  <si>
    <t>KL-2024-171819</t>
  </si>
  <si>
    <t>Harsh Patel</t>
  </si>
  <si>
    <t>Surat</t>
  </si>
  <si>
    <t>KL-2024-202122</t>
  </si>
  <si>
    <t>Pallavi Reddy</t>
  </si>
  <si>
    <t>KL-2024-232425</t>
  </si>
  <si>
    <t>Abhishek Tiwari</t>
  </si>
  <si>
    <t>KL-2025-262728</t>
  </si>
  <si>
    <t>Sanya Kapoor</t>
  </si>
  <si>
    <t>KL-2025-293031</t>
  </si>
  <si>
    <t>Ritesh Dubey</t>
  </si>
  <si>
    <t>Bhopal</t>
  </si>
  <si>
    <t>KL-2025-323334</t>
  </si>
  <si>
    <t>Isha Menon</t>
  </si>
  <si>
    <t>Trivandrum</t>
  </si>
  <si>
    <t>KL-2025-353637</t>
  </si>
  <si>
    <t>Akash Bansal</t>
  </si>
  <si>
    <t>Faridabad</t>
  </si>
  <si>
    <t>KL-2025-383940</t>
  </si>
  <si>
    <t>Swati Mishra</t>
  </si>
  <si>
    <t>Odisha</t>
  </si>
  <si>
    <t>Bhubaneswar</t>
  </si>
  <si>
    <t>KL-2025-414243</t>
  </si>
  <si>
    <t>Tarun Chawla</t>
  </si>
  <si>
    <t>Nagpur</t>
  </si>
  <si>
    <t>KL-2025-444546</t>
  </si>
  <si>
    <t>Rashmi Sinha</t>
  </si>
  <si>
    <t>Gaya</t>
  </si>
  <si>
    <t>KL-2025-474849</t>
  </si>
  <si>
    <t>Aditya Saxena</t>
  </si>
  <si>
    <t>Udaipur</t>
  </si>
  <si>
    <t>KL-2025-505152</t>
  </si>
  <si>
    <t>Komal Verma</t>
  </si>
  <si>
    <t>Mysore</t>
  </si>
  <si>
    <t>KL-2025-535455</t>
  </si>
  <si>
    <t>Varun Nair</t>
  </si>
  <si>
    <t>Coimbatore</t>
  </si>
  <si>
    <t>KL-2025-565758</t>
  </si>
  <si>
    <t>Preeti Joshi</t>
  </si>
  <si>
    <t>Gwalior</t>
  </si>
  <si>
    <t>Grand Total</t>
  </si>
  <si>
    <t>Sum of Sales</t>
  </si>
  <si>
    <t>Sum of Profit</t>
  </si>
  <si>
    <t>Proft%</t>
  </si>
  <si>
    <t>KL-2025-565759</t>
  </si>
  <si>
    <t>Preeti Sen</t>
  </si>
  <si>
    <t>KL-2025-565260</t>
  </si>
  <si>
    <t>Aayush Pateriya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</si>
</sst>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9" fontId="0" fillId="0" borderId="0" xfId="0" applyNumberFormat="1"/>
    <xf numFmtId="9" fontId="0" fillId="0" borderId="0" xfId="42" applyFont="1"/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4" formatCode="0.00%"/>
    </dxf>
    <dxf>
      <numFmt numFmtId="14" formatCode="0.00%"/>
    </dxf>
    <dxf>
      <numFmt numFmtId="164" formatCode="yyyy/mm/dd;@"/>
    </dxf>
    <dxf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" refreshedDate="46076.461888773149" createdVersion="8" refreshedVersion="8" minRefreshableVersion="3" recordCount="48" xr:uid="{BC732C01-0A04-44F0-85CF-7BF77F60A2DC}">
  <cacheSource type="worksheet">
    <worksheetSource name="Table1"/>
  </cacheSource>
  <cacheFields count="9">
    <cacheField name="OrderId" numFmtId="0">
      <sharedItems/>
    </cacheField>
    <cacheField name="Order Date" numFmtId="164">
      <sharedItems containsSemiMixedTypes="0" containsNonDate="0" containsDate="1" containsString="0" minDate="2018-01-15T00:00:00" maxDate="2025-12-21T00:00:00"/>
    </cacheField>
    <cacheField name="Customer Name" numFmtId="0">
      <sharedItems/>
    </cacheField>
    <cacheField name="State" numFmtId="0">
      <sharedItems count="18">
        <s v="Maharashtra"/>
        <s v="Delhi"/>
        <s v="Karnataka"/>
        <s v="Uttar Pradesh"/>
        <s v="Gujarat"/>
        <s v="Rajasthan"/>
        <s v="Kerala"/>
        <s v="Punjab"/>
        <s v="West Bengal"/>
        <s v="Haryana"/>
        <s v="Tamil Nadu"/>
        <s v="Telangana"/>
        <s v="Andhra Pradesh"/>
        <s v="Madhya Pradesh"/>
        <s v="Bihar"/>
        <s v="Himachal Pradesh"/>
        <s v="Uttarakhand"/>
        <s v="Odisha"/>
      </sharedItems>
    </cacheField>
    <cacheField name="City" numFmtId="0">
      <sharedItems count="33">
        <s v="Mumbai"/>
        <s v="New Delhi"/>
        <s v="Bangalore"/>
        <s v="Lucknow"/>
        <s v="Ahmedabad"/>
        <s v="Jaipur"/>
        <s v="Kochi"/>
        <s v="Chandigarh"/>
        <s v="Kolkata"/>
        <s v="Gurgaon"/>
        <s v="Chennai"/>
        <s v="Hyderabad"/>
        <s v="Ludhiana"/>
        <s v="Kanpur"/>
        <s v="Vijayawada"/>
        <s v="Indore"/>
        <s v="Noida"/>
        <s v="Pune"/>
        <s v="Patna"/>
        <s v="Amritsar"/>
        <s v="Shimla"/>
        <s v="Dehradun"/>
        <s v="Surat"/>
        <s v="Bhopal"/>
        <s v="Trivandrum"/>
        <s v="Faridabad"/>
        <s v="Bhubaneswar"/>
        <s v="Nagpur"/>
        <s v="Gaya"/>
        <s v="Udaipur"/>
        <s v="Mysore"/>
        <s v="Coimbatore"/>
        <s v="Gwalior"/>
      </sharedItems>
    </cacheField>
    <cacheField name="Region" numFmtId="0">
      <sharedItems count="5">
        <s v="West"/>
        <s v="North"/>
        <s v="South"/>
        <s v="East"/>
        <s v="Central"/>
      </sharedItems>
    </cacheField>
    <cacheField name="Sales" numFmtId="0">
      <sharedItems containsSemiMixedTypes="0" containsString="0" containsNumber="1" containsInteger="1" minValue="8700" maxValue="67000"/>
    </cacheField>
    <cacheField name="Profit" numFmtId="0">
      <sharedItems containsSemiMixedTypes="0" containsString="0" containsNumber="1" containsInteger="1" minValue="1200" maxValue="5600"/>
    </cacheField>
    <cacheField name="Proft%" numFmtId="10">
      <sharedItems containsSemiMixedTypes="0" containsString="0" containsNumber="1" minValue="0" maxValue="0.239316239316239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KL-2018-231012"/>
    <d v="2018-01-15T00:00:00"/>
    <s v="Riya Sharma"/>
    <x v="0"/>
    <x v="0"/>
    <x v="0"/>
    <n v="12500"/>
    <n v="2400"/>
    <n v="0"/>
  </r>
  <r>
    <s v="KL-2018-452178"/>
    <d v="2018-03-22T00:00:00"/>
    <s v="Arjun Mehta"/>
    <x v="1"/>
    <x v="1"/>
    <x v="1"/>
    <n v="9800"/>
    <n v="1500"/>
    <n v="0.15306122448979592"/>
  </r>
  <r>
    <s v="KL-2019-118945"/>
    <d v="2019-02-10T00:00:00"/>
    <s v="Sneha Verma"/>
    <x v="2"/>
    <x v="2"/>
    <x v="2"/>
    <n v="21500"/>
    <n v="4200"/>
    <n v="0.19534883720930232"/>
  </r>
  <r>
    <s v="KL-2019-775421"/>
    <d v="2019-06-18T00:00:00"/>
    <s v="Rohit Singh"/>
    <x v="3"/>
    <x v="3"/>
    <x v="1"/>
    <n v="14300"/>
    <n v="2100"/>
    <n v="0.14685314685314685"/>
  </r>
  <r>
    <s v="KL-2020-342190"/>
    <d v="2020-01-12T00:00:00"/>
    <s v="Neha Patel"/>
    <x v="4"/>
    <x v="4"/>
    <x v="0"/>
    <n v="16700"/>
    <n v="3000"/>
    <n v="0.17964071856287425"/>
  </r>
  <r>
    <s v="KL-2020-908712"/>
    <d v="2020-09-25T00:00:00"/>
    <s v="Vikram Joshi"/>
    <x v="5"/>
    <x v="5"/>
    <x v="1"/>
    <n v="8900"/>
    <n v="1200"/>
    <n v="0.1348314606741573"/>
  </r>
  <r>
    <s v="KL-2021-561234"/>
    <d v="2021-04-14T00:00:00"/>
    <s v="Pooja Nair"/>
    <x v="6"/>
    <x v="6"/>
    <x v="2"/>
    <n v="15400"/>
    <n v="2700"/>
    <n v="0.17532467532467533"/>
  </r>
  <r>
    <s v="KL-2021-882301"/>
    <d v="2021-11-30T00:00:00"/>
    <s v="Karan Malhotra"/>
    <x v="7"/>
    <x v="7"/>
    <x v="1"/>
    <n v="13200"/>
    <n v="2400"/>
    <n v="0.18181818181818182"/>
  </r>
  <r>
    <s v="KL-2022-112345"/>
    <d v="2022-02-05T00:00:00"/>
    <s v="Ananya Gupta"/>
    <x v="8"/>
    <x v="8"/>
    <x v="3"/>
    <n v="17600"/>
    <n v="3500"/>
    <n v="0.19886363636363635"/>
  </r>
  <r>
    <s v="KL-2022-778899"/>
    <d v="2022-07-19T00:00:00"/>
    <s v="Rahul Kapoor"/>
    <x v="9"/>
    <x v="9"/>
    <x v="1"/>
    <n v="22000"/>
    <n v="5000"/>
    <n v="0.22727272727272727"/>
  </r>
  <r>
    <s v="KL-2023-445566"/>
    <d v="2023-03-08T00:00:00"/>
    <s v="Meera Iyer"/>
    <x v="10"/>
    <x v="10"/>
    <x v="2"/>
    <n v="19500"/>
    <n v="4100"/>
    <n v="0.21025641025641026"/>
  </r>
  <r>
    <s v="KL-2023-990011"/>
    <d v="2023-10-21T00:00:00"/>
    <s v="Aditya Rao"/>
    <x v="11"/>
    <x v="11"/>
    <x v="2"/>
    <n v="16800"/>
    <n v="2900"/>
    <n v="0.17261904761904762"/>
  </r>
  <r>
    <s v="KL-2024-223344"/>
    <d v="2024-01-17T00:00:00"/>
    <s v="Simran Kaur"/>
    <x v="7"/>
    <x v="12"/>
    <x v="1"/>
    <n v="9200"/>
    <n v="1300"/>
    <n v="0.14130434782608695"/>
  </r>
  <r>
    <s v="KL-2024-556677"/>
    <d v="2024-05-28T00:00:00"/>
    <s v="Amit Tiwari"/>
    <x v="3"/>
    <x v="13"/>
    <x v="1"/>
    <n v="14600"/>
    <n v="2600"/>
    <n v="0.17808219178082191"/>
  </r>
  <r>
    <s v="KL-2025-101112"/>
    <d v="2025-02-11T00:00:00"/>
    <s v="Kavya Reddy"/>
    <x v="12"/>
    <x v="14"/>
    <x v="2"/>
    <n v="18800"/>
    <n v="3700"/>
    <n v="0.19680851063829788"/>
  </r>
  <r>
    <s v="KL-2025-202500"/>
    <d v="2025-06-15T00:00:00"/>
    <s v="Saurabh Jain"/>
    <x v="13"/>
    <x v="15"/>
    <x v="4"/>
    <n v="17400"/>
    <n v="3400"/>
    <n v="0.19540229885057472"/>
  </r>
  <r>
    <s v="KL-2018-334455"/>
    <d v="2018-05-12T00:00:00"/>
    <s v="Ankit Sharma"/>
    <x v="1"/>
    <x v="1"/>
    <x v="1"/>
    <n v="14500"/>
    <n v="2600"/>
    <n v="0.1793103448275862"/>
  </r>
  <r>
    <s v="KL-2018-778812"/>
    <d v="2018-08-19T00:00:00"/>
    <s v="Priya Nair"/>
    <x v="6"/>
    <x v="6"/>
    <x v="2"/>
    <n v="11200"/>
    <n v="1800"/>
    <n v="0.16071428571428573"/>
  </r>
  <r>
    <s v="KL-2019-120987"/>
    <d v="2019-01-25T00:00:00"/>
    <s v="Rahul Verma"/>
    <x v="3"/>
    <x v="16"/>
    <x v="1"/>
    <n v="16800"/>
    <n v="3100"/>
    <n v="0.18452380952380953"/>
  </r>
  <r>
    <s v="KL-2019-654321"/>
    <d v="2019-09-14T00:00:00"/>
    <s v="Sakshi Gupta"/>
    <x v="0"/>
    <x v="17"/>
    <x v="0"/>
    <n v="18900"/>
    <n v="3500"/>
    <n v="0.18518518518518517"/>
  </r>
  <r>
    <s v="KL-2020-345678"/>
    <d v="2020-02-18T00:00:00"/>
    <s v="Manoj Yadav"/>
    <x v="14"/>
    <x v="18"/>
    <x v="3"/>
    <n v="9800"/>
    <n v="1400"/>
    <n v="0.14285714285714285"/>
  </r>
  <r>
    <s v="KL-2020-987654"/>
    <d v="2020-11-07T00:00:00"/>
    <s v="Divya Iyer"/>
    <x v="10"/>
    <x v="10"/>
    <x v="2"/>
    <n v="21000"/>
    <n v="4800"/>
    <n v="0.22857142857142856"/>
  </r>
  <r>
    <s v="KL-2021-456123"/>
    <d v="2021-03-10T00:00:00"/>
    <s v="Kunal Mehta"/>
    <x v="4"/>
    <x v="4"/>
    <x v="0"/>
    <n v="15400"/>
    <n v="2900"/>
    <n v="0.18831168831168832"/>
  </r>
  <r>
    <s v="KL-2021-789321"/>
    <d v="2021-12-21T00:00:00"/>
    <s v="Neha Singh"/>
    <x v="5"/>
    <x v="5"/>
    <x v="1"/>
    <n v="13200"/>
    <n v="2300"/>
    <n v="0.17424242424242425"/>
  </r>
  <r>
    <s v="KL-2022-112233"/>
    <d v="2022-04-09T00:00:00"/>
    <s v="Arpit Jain"/>
    <x v="13"/>
    <x v="15"/>
    <x v="4"/>
    <n v="17600"/>
    <n v="3400"/>
    <n v="0.19318181818181818"/>
  </r>
  <r>
    <s v="KL-2022-445577"/>
    <d v="2022-07-15T00:00:00"/>
    <s v="Megha Das"/>
    <x v="8"/>
    <x v="8"/>
    <x v="3"/>
    <n v="14900"/>
    <n v="2700"/>
    <n v="0.18120805369127516"/>
  </r>
  <r>
    <s v="KL-2022-998877"/>
    <d v="2022-10-28T00:00:00"/>
    <s v="Vivek Kapoor"/>
    <x v="9"/>
    <x v="9"/>
    <x v="1"/>
    <n v="22000"/>
    <n v="5100"/>
    <n v="0.23181818181818181"/>
  </r>
  <r>
    <s v="KL-2023-223311"/>
    <d v="2023-01-16T00:00:00"/>
    <s v="Aditi Rao"/>
    <x v="11"/>
    <x v="11"/>
    <x v="2"/>
    <n v="19500"/>
    <n v="4200"/>
    <n v="0.2153846153846154"/>
  </r>
  <r>
    <s v="KL-2023-667788"/>
    <d v="2023-05-20T00:00:00"/>
    <s v="Rohan Malhotra"/>
    <x v="7"/>
    <x v="19"/>
    <x v="1"/>
    <n v="11800"/>
    <n v="2000"/>
    <n v="0.16949152542372881"/>
  </r>
  <r>
    <s v="KL-2023-889900"/>
    <d v="2023-09-11T00:00:00"/>
    <s v="Shreya Kulkarni"/>
    <x v="2"/>
    <x v="2"/>
    <x v="2"/>
    <n v="23400"/>
    <n v="5600"/>
    <n v="0.23931623931623933"/>
  </r>
  <r>
    <s v="KL-2024-101213"/>
    <d v="2024-02-05T00:00:00"/>
    <s v="Nitin Arora"/>
    <x v="15"/>
    <x v="20"/>
    <x v="1"/>
    <n v="8700"/>
    <n v="1200"/>
    <n v="0.13793103448275862"/>
  </r>
  <r>
    <s v="KL-2024-141516"/>
    <d v="2024-04-18T00:00:00"/>
    <s v="Kritika Sharma"/>
    <x v="16"/>
    <x v="21"/>
    <x v="1"/>
    <n v="13900"/>
    <n v="2500"/>
    <n v="0.17985611510791366"/>
  </r>
  <r>
    <s v="KL-2024-171819"/>
    <d v="2024-06-22T00:00:00"/>
    <s v="Harsh Patel"/>
    <x v="4"/>
    <x v="22"/>
    <x v="0"/>
    <n v="16200"/>
    <n v="3000"/>
    <n v="0.18518518518518517"/>
  </r>
  <r>
    <s v="KL-2024-202122"/>
    <d v="2024-08-30T00:00:00"/>
    <s v="Pallavi Reddy"/>
    <x v="12"/>
    <x v="14"/>
    <x v="2"/>
    <n v="17800"/>
    <n v="3300"/>
    <n v="0.1853932584269663"/>
  </r>
  <r>
    <s v="KL-2024-232425"/>
    <d v="2024-10-14T00:00:00"/>
    <s v="Abhishek Tiwari"/>
    <x v="3"/>
    <x v="3"/>
    <x v="1"/>
    <n v="15200"/>
    <n v="2800"/>
    <n v="0.18421052631578946"/>
  </r>
  <r>
    <s v="KL-2025-262728"/>
    <d v="2025-01-09T00:00:00"/>
    <s v="Sanya Kapoor"/>
    <x v="1"/>
    <x v="1"/>
    <x v="1"/>
    <n v="20500"/>
    <n v="4700"/>
    <n v="0.22926829268292684"/>
  </r>
  <r>
    <s v="KL-2025-293031"/>
    <d v="2025-02-17T00:00:00"/>
    <s v="Ritesh Dubey"/>
    <x v="13"/>
    <x v="23"/>
    <x v="4"/>
    <n v="16400"/>
    <n v="3100"/>
    <n v="0.18902439024390244"/>
  </r>
  <r>
    <s v="KL-2025-323334"/>
    <d v="2025-03-26T00:00:00"/>
    <s v="Isha Menon"/>
    <x v="6"/>
    <x v="24"/>
    <x v="2"/>
    <n v="14300"/>
    <n v="2600"/>
    <n v="0.18181818181818182"/>
  </r>
  <r>
    <s v="KL-2025-353637"/>
    <d v="2025-04-12T00:00:00"/>
    <s v="Akash Bansal"/>
    <x v="9"/>
    <x v="25"/>
    <x v="1"/>
    <n v="19000"/>
    <n v="4000"/>
    <n v="0.21052631578947367"/>
  </r>
  <r>
    <s v="KL-2025-383940"/>
    <d v="2025-05-19T00:00:00"/>
    <s v="Swati Mishra"/>
    <x v="17"/>
    <x v="26"/>
    <x v="3"/>
    <n v="12700"/>
    <n v="2200"/>
    <n v="0.17322834645669291"/>
  </r>
  <r>
    <s v="KL-2025-414243"/>
    <d v="2025-06-07T00:00:00"/>
    <s v="Tarun Chawla"/>
    <x v="0"/>
    <x v="27"/>
    <x v="0"/>
    <n v="17100"/>
    <n v="3400"/>
    <n v="0.19883040935672514"/>
  </r>
  <r>
    <s v="KL-2025-444546"/>
    <d v="2025-07-15T00:00:00"/>
    <s v="Rashmi Sinha"/>
    <x v="14"/>
    <x v="28"/>
    <x v="3"/>
    <n v="9100"/>
    <n v="1300"/>
    <n v="0.14285714285714285"/>
  </r>
  <r>
    <s v="KL-2025-474849"/>
    <d v="2025-08-21T00:00:00"/>
    <s v="Aditya Saxena"/>
    <x v="5"/>
    <x v="29"/>
    <x v="1"/>
    <n v="15800"/>
    <n v="3000"/>
    <n v="0.189873417721519"/>
  </r>
  <r>
    <s v="KL-2025-505152"/>
    <d v="2025-09-05T00:00:00"/>
    <s v="Komal Verma"/>
    <x v="2"/>
    <x v="30"/>
    <x v="2"/>
    <n v="13600"/>
    <n v="2400"/>
    <n v="0.17647058823529413"/>
  </r>
  <r>
    <s v="KL-2025-535455"/>
    <d v="2025-10-11T00:00:00"/>
    <s v="Varun Nair"/>
    <x v="10"/>
    <x v="31"/>
    <x v="2"/>
    <n v="22400"/>
    <n v="5200"/>
    <n v="0.23214285714285715"/>
  </r>
  <r>
    <s v="KL-2025-565758"/>
    <d v="2025-11-23T00:00:00"/>
    <s v="Preeti Joshi"/>
    <x v="13"/>
    <x v="32"/>
    <x v="4"/>
    <n v="14800"/>
    <n v="2700"/>
    <n v="0.18243243243243243"/>
  </r>
  <r>
    <s v="KL-2025-565759"/>
    <d v="2025-11-24T00:00:00"/>
    <s v="Preeti Sen"/>
    <x v="13"/>
    <x v="23"/>
    <x v="4"/>
    <n v="56000"/>
    <n v="3400"/>
    <n v="6.0714285714285714E-2"/>
  </r>
  <r>
    <s v="KL-2025-565260"/>
    <d v="2025-12-20T00:00:00"/>
    <s v="Aayush Pateriya"/>
    <x v="3"/>
    <x v="3"/>
    <x v="1"/>
    <n v="67000"/>
    <n v="3200"/>
    <n v="4.776119402985074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BE4EA-6015-4F3B-9143-C2095ED99F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60" firstHeaderRow="0" firstDataRow="1" firstDataCol="3"/>
  <pivotFields count="9">
    <pivotField compact="0" showAll="0"/>
    <pivotField compact="0" showAll="0"/>
    <pivotField compact="0" showAll="0"/>
    <pivotField axis="axisRow" compact="0" showAll="0">
      <items count="19">
        <item x="12"/>
        <item x="14"/>
        <item x="1"/>
        <item x="4"/>
        <item x="9"/>
        <item x="15"/>
        <item x="2"/>
        <item x="6"/>
        <item x="13"/>
        <item x="0"/>
        <item x="17"/>
        <item x="7"/>
        <item x="5"/>
        <item x="10"/>
        <item x="11"/>
        <item x="3"/>
        <item x="16"/>
        <item x="8"/>
        <item t="default"/>
      </items>
    </pivotField>
    <pivotField axis="axisRow" compact="0" showAll="0" sortType="ascending">
      <items count="34">
        <item x="4"/>
        <item x="19"/>
        <item x="2"/>
        <item x="23"/>
        <item x="26"/>
        <item x="7"/>
        <item x="10"/>
        <item x="31"/>
        <item x="21"/>
        <item x="25"/>
        <item x="28"/>
        <item x="9"/>
        <item x="32"/>
        <item x="11"/>
        <item x="15"/>
        <item x="5"/>
        <item x="13"/>
        <item x="6"/>
        <item x="8"/>
        <item x="3"/>
        <item x="12"/>
        <item x="0"/>
        <item x="30"/>
        <item x="27"/>
        <item x="1"/>
        <item x="16"/>
        <item x="18"/>
        <item x="17"/>
        <item x="20"/>
        <item x="22"/>
        <item x="24"/>
        <item x="29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6">
        <item x="4"/>
        <item x="3"/>
        <item x="1"/>
        <item x="2"/>
        <item x="0"/>
        <item t="default"/>
      </items>
    </pivotField>
    <pivotField dataField="1" compact="0" showAll="0"/>
    <pivotField dataField="1" compact="0" showAll="0"/>
    <pivotField compact="0" numFmtId="9" showAll="0"/>
  </pivotFields>
  <rowFields count="3">
    <field x="5"/>
    <field x="3"/>
    <field x="4"/>
  </rowFields>
  <rowItems count="57">
    <i>
      <x/>
    </i>
    <i r="1">
      <x v="8"/>
    </i>
    <i r="2">
      <x v="12"/>
    </i>
    <i r="2">
      <x v="14"/>
    </i>
    <i r="2">
      <x v="3"/>
    </i>
    <i>
      <x v="1"/>
    </i>
    <i r="1">
      <x v="1"/>
    </i>
    <i r="2">
      <x v="10"/>
    </i>
    <i r="2">
      <x v="26"/>
    </i>
    <i r="1">
      <x v="10"/>
    </i>
    <i r="2">
      <x v="4"/>
    </i>
    <i r="1">
      <x v="17"/>
    </i>
    <i r="2">
      <x v="18"/>
    </i>
    <i>
      <x v="2"/>
    </i>
    <i r="1">
      <x v="2"/>
    </i>
    <i r="2">
      <x v="24"/>
    </i>
    <i r="1">
      <x v="4"/>
    </i>
    <i r="2">
      <x v="9"/>
    </i>
    <i r="2">
      <x v="11"/>
    </i>
    <i r="1">
      <x v="5"/>
    </i>
    <i r="2">
      <x v="28"/>
    </i>
    <i r="1">
      <x v="11"/>
    </i>
    <i r="2">
      <x v="20"/>
    </i>
    <i r="2">
      <x v="1"/>
    </i>
    <i r="2">
      <x v="5"/>
    </i>
    <i r="1">
      <x v="12"/>
    </i>
    <i r="2">
      <x v="31"/>
    </i>
    <i r="2">
      <x v="15"/>
    </i>
    <i r="1">
      <x v="15"/>
    </i>
    <i r="2">
      <x v="16"/>
    </i>
    <i r="2">
      <x v="25"/>
    </i>
    <i r="2">
      <x v="19"/>
    </i>
    <i r="1">
      <x v="16"/>
    </i>
    <i r="2">
      <x v="8"/>
    </i>
    <i>
      <x v="3"/>
    </i>
    <i r="1">
      <x/>
    </i>
    <i r="2">
      <x v="32"/>
    </i>
    <i r="1">
      <x v="6"/>
    </i>
    <i r="2">
      <x v="22"/>
    </i>
    <i r="2">
      <x v="2"/>
    </i>
    <i r="1">
      <x v="7"/>
    </i>
    <i r="2">
      <x v="30"/>
    </i>
    <i r="2">
      <x v="17"/>
    </i>
    <i r="1">
      <x v="13"/>
    </i>
    <i r="2">
      <x v="7"/>
    </i>
    <i r="2">
      <x v="6"/>
    </i>
    <i r="1">
      <x v="14"/>
    </i>
    <i r="2">
      <x v="13"/>
    </i>
    <i>
      <x v="4"/>
    </i>
    <i r="1">
      <x v="3"/>
    </i>
    <i r="2">
      <x v="29"/>
    </i>
    <i r="2">
      <x/>
    </i>
    <i r="1">
      <x v="9"/>
    </i>
    <i r="2">
      <x v="21"/>
    </i>
    <i r="2">
      <x v="23"/>
    </i>
    <i r="2"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255A6-AC0E-475A-9D15-E8A292A43FFD}" name="Table1" displayName="Table1" ref="A1:I49" totalsRowShown="0">
  <autoFilter ref="A1:I49" xr:uid="{643255A6-AC0E-475A-9D15-E8A292A43FFD}"/>
  <tableColumns count="9">
    <tableColumn id="1" xr3:uid="{05983E13-8DB5-4C2F-ACD6-136CFE0812CE}" name="OrderId"/>
    <tableColumn id="2" xr3:uid="{7B3D2421-4964-43B2-9001-1CD07751274F}" name="Order Date" dataDxfId="3" totalsRowDxfId="2"/>
    <tableColumn id="3" xr3:uid="{C5DCE0DB-3126-4A06-8E1B-639F24BFE99E}" name="Customer Name"/>
    <tableColumn id="5" xr3:uid="{83464B2D-1184-4165-922C-E44FE744FBB8}" name="State"/>
    <tableColumn id="6" xr3:uid="{77A208F4-47E9-46B0-80E7-266B977AD332}" name="City"/>
    <tableColumn id="7" xr3:uid="{B71CA832-9EAA-4882-8D48-3051A2BD1866}" name="Region"/>
    <tableColumn id="8" xr3:uid="{5DF24EF1-CC40-4567-BD30-29DE148795DD}" name="Sales"/>
    <tableColumn id="9" xr3:uid="{4348965B-429E-46A2-AAE6-B90541C3ED7E}" name="Profit"/>
    <tableColumn id="10" xr3:uid="{2C4BF38D-E4CA-48A7-B8A1-768E1D4B9A68}" name="Proft%" dataDxfId="1" totalsRowDxfId="0">
      <calculatedColumnFormula>Table1[[#This Row],[Profit]]/Table1[[#This Row],[Sales]]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68BDD-9BA2-4189-8B69-F1AA6C549898}">
  <dimension ref="A1:I49"/>
  <sheetViews>
    <sheetView tabSelected="1" topLeftCell="A21" workbookViewId="0">
      <selection sqref="A1:I49"/>
    </sheetView>
  </sheetViews>
  <sheetFormatPr defaultRowHeight="14.4" x14ac:dyDescent="0.3"/>
  <cols>
    <col min="1" max="1" width="14.33203125" bestFit="1" customWidth="1"/>
    <col min="2" max="2" width="10.33203125" bestFit="1" customWidth="1"/>
    <col min="3" max="3" width="14.33203125" bestFit="1" customWidth="1"/>
    <col min="4" max="4" width="15.5546875" bestFit="1" customWidth="1"/>
    <col min="5" max="5" width="12" bestFit="1" customWidth="1"/>
    <col min="6" max="6" width="6.88671875" bestFit="1" customWidth="1"/>
    <col min="7" max="7" width="6" bestFit="1" customWidth="1"/>
    <col min="8" max="8" width="5" bestFit="1" customWidth="1"/>
    <col min="9" max="9" width="7" style="3" bestFit="1" customWidth="1"/>
  </cols>
  <sheetData>
    <row r="1" spans="1:9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159</v>
      </c>
    </row>
    <row r="2" spans="1:9" x14ac:dyDescent="0.3">
      <c r="A2" t="s">
        <v>8</v>
      </c>
      <c r="B2" s="1">
        <v>43115</v>
      </c>
      <c r="C2" t="s">
        <v>9</v>
      </c>
      <c r="D2" t="s">
        <v>10</v>
      </c>
      <c r="E2" t="s">
        <v>11</v>
      </c>
      <c r="F2" t="s">
        <v>12</v>
      </c>
      <c r="G2">
        <v>12500</v>
      </c>
      <c r="H2">
        <v>2400</v>
      </c>
      <c r="I2" s="5" cm="1">
        <f t="array" aca="1" ref="I2" ca="1">I2:I49=Table1[[#This Row],[Profit]]/Table1[[#This Row],[Sales]]</f>
        <v>0</v>
      </c>
    </row>
    <row r="3" spans="1:9" x14ac:dyDescent="0.3">
      <c r="A3" t="s">
        <v>13</v>
      </c>
      <c r="B3" s="1">
        <v>43181</v>
      </c>
      <c r="C3" t="s">
        <v>14</v>
      </c>
      <c r="D3" t="s">
        <v>15</v>
      </c>
      <c r="E3" t="s">
        <v>16</v>
      </c>
      <c r="F3" t="s">
        <v>17</v>
      </c>
      <c r="G3">
        <v>9800</v>
      </c>
      <c r="H3">
        <v>1500</v>
      </c>
      <c r="I3" s="5">
        <f>Table1[[#This Row],[Profit]]/Table1[[#This Row],[Sales]]</f>
        <v>0.15306122448979592</v>
      </c>
    </row>
    <row r="4" spans="1:9" x14ac:dyDescent="0.3">
      <c r="A4" t="s">
        <v>18</v>
      </c>
      <c r="B4" s="1">
        <v>43506</v>
      </c>
      <c r="C4" t="s">
        <v>19</v>
      </c>
      <c r="D4" t="s">
        <v>20</v>
      </c>
      <c r="E4" t="s">
        <v>21</v>
      </c>
      <c r="F4" t="s">
        <v>22</v>
      </c>
      <c r="G4">
        <v>21500</v>
      </c>
      <c r="H4">
        <v>4200</v>
      </c>
      <c r="I4" s="5">
        <f>Table1[[#This Row],[Profit]]/Table1[[#This Row],[Sales]]</f>
        <v>0.19534883720930232</v>
      </c>
    </row>
    <row r="5" spans="1:9" x14ac:dyDescent="0.3">
      <c r="A5" t="s">
        <v>23</v>
      </c>
      <c r="B5" s="1">
        <v>43634</v>
      </c>
      <c r="C5" t="s">
        <v>24</v>
      </c>
      <c r="D5" t="s">
        <v>25</v>
      </c>
      <c r="E5" t="s">
        <v>26</v>
      </c>
      <c r="F5" t="s">
        <v>17</v>
      </c>
      <c r="G5">
        <v>14300</v>
      </c>
      <c r="H5">
        <v>2100</v>
      </c>
      <c r="I5" s="5">
        <f>Table1[[#This Row],[Profit]]/Table1[[#This Row],[Sales]]</f>
        <v>0.14685314685314685</v>
      </c>
    </row>
    <row r="6" spans="1:9" x14ac:dyDescent="0.3">
      <c r="A6" t="s">
        <v>27</v>
      </c>
      <c r="B6" s="1">
        <v>43842</v>
      </c>
      <c r="C6" t="s">
        <v>28</v>
      </c>
      <c r="D6" t="s">
        <v>29</v>
      </c>
      <c r="E6" t="s">
        <v>30</v>
      </c>
      <c r="F6" t="s">
        <v>12</v>
      </c>
      <c r="G6">
        <v>16700</v>
      </c>
      <c r="H6">
        <v>3000</v>
      </c>
      <c r="I6" s="5">
        <f>Table1[[#This Row],[Profit]]/Table1[[#This Row],[Sales]]</f>
        <v>0.17964071856287425</v>
      </c>
    </row>
    <row r="7" spans="1:9" x14ac:dyDescent="0.3">
      <c r="A7" t="s">
        <v>31</v>
      </c>
      <c r="B7" s="1">
        <v>44099</v>
      </c>
      <c r="C7" t="s">
        <v>32</v>
      </c>
      <c r="D7" t="s">
        <v>33</v>
      </c>
      <c r="E7" t="s">
        <v>34</v>
      </c>
      <c r="F7" t="s">
        <v>17</v>
      </c>
      <c r="G7">
        <v>8900</v>
      </c>
      <c r="H7">
        <v>1200</v>
      </c>
      <c r="I7" s="5">
        <f>Table1[[#This Row],[Profit]]/Table1[[#This Row],[Sales]]</f>
        <v>0.1348314606741573</v>
      </c>
    </row>
    <row r="8" spans="1:9" x14ac:dyDescent="0.3">
      <c r="A8" t="s">
        <v>35</v>
      </c>
      <c r="B8" s="1">
        <v>44300</v>
      </c>
      <c r="C8" t="s">
        <v>36</v>
      </c>
      <c r="D8" t="s">
        <v>37</v>
      </c>
      <c r="E8" t="s">
        <v>38</v>
      </c>
      <c r="F8" t="s">
        <v>22</v>
      </c>
      <c r="G8">
        <v>15400</v>
      </c>
      <c r="H8">
        <v>2700</v>
      </c>
      <c r="I8" s="5">
        <f>Table1[[#This Row],[Profit]]/Table1[[#This Row],[Sales]]</f>
        <v>0.17532467532467533</v>
      </c>
    </row>
    <row r="9" spans="1:9" x14ac:dyDescent="0.3">
      <c r="A9" t="s">
        <v>39</v>
      </c>
      <c r="B9" s="1">
        <v>44530</v>
      </c>
      <c r="C9" t="s">
        <v>40</v>
      </c>
      <c r="D9" t="s">
        <v>41</v>
      </c>
      <c r="E9" t="s">
        <v>42</v>
      </c>
      <c r="F9" t="s">
        <v>17</v>
      </c>
      <c r="G9">
        <v>13200</v>
      </c>
      <c r="H9">
        <v>2400</v>
      </c>
      <c r="I9" s="5">
        <f>Table1[[#This Row],[Profit]]/Table1[[#This Row],[Sales]]</f>
        <v>0.18181818181818182</v>
      </c>
    </row>
    <row r="10" spans="1:9" x14ac:dyDescent="0.3">
      <c r="A10" t="s">
        <v>43</v>
      </c>
      <c r="B10" s="1">
        <v>44597</v>
      </c>
      <c r="C10" t="s">
        <v>44</v>
      </c>
      <c r="D10" t="s">
        <v>45</v>
      </c>
      <c r="E10" t="s">
        <v>46</v>
      </c>
      <c r="F10" t="s">
        <v>47</v>
      </c>
      <c r="G10">
        <v>17600</v>
      </c>
      <c r="H10">
        <v>3500</v>
      </c>
      <c r="I10" s="5">
        <f>Table1[[#This Row],[Profit]]/Table1[[#This Row],[Sales]]</f>
        <v>0.19886363636363635</v>
      </c>
    </row>
    <row r="11" spans="1:9" x14ac:dyDescent="0.3">
      <c r="A11" t="s">
        <v>48</v>
      </c>
      <c r="B11" s="1">
        <v>44761</v>
      </c>
      <c r="C11" t="s">
        <v>49</v>
      </c>
      <c r="D11" t="s">
        <v>50</v>
      </c>
      <c r="E11" t="s">
        <v>51</v>
      </c>
      <c r="F11" t="s">
        <v>17</v>
      </c>
      <c r="G11">
        <v>22000</v>
      </c>
      <c r="H11">
        <v>5000</v>
      </c>
      <c r="I11" s="5">
        <f>Table1[[#This Row],[Profit]]/Table1[[#This Row],[Sales]]</f>
        <v>0.22727272727272727</v>
      </c>
    </row>
    <row r="12" spans="1:9" x14ac:dyDescent="0.3">
      <c r="A12" t="s">
        <v>52</v>
      </c>
      <c r="B12" s="1">
        <v>44993</v>
      </c>
      <c r="C12" t="s">
        <v>53</v>
      </c>
      <c r="D12" t="s">
        <v>54</v>
      </c>
      <c r="E12" t="s">
        <v>55</v>
      </c>
      <c r="F12" t="s">
        <v>22</v>
      </c>
      <c r="G12">
        <v>19500</v>
      </c>
      <c r="H12">
        <v>4100</v>
      </c>
      <c r="I12" s="5">
        <f>Table1[[#This Row],[Profit]]/Table1[[#This Row],[Sales]]</f>
        <v>0.21025641025641026</v>
      </c>
    </row>
    <row r="13" spans="1:9" x14ac:dyDescent="0.3">
      <c r="A13" t="s">
        <v>56</v>
      </c>
      <c r="B13" s="1">
        <v>45220</v>
      </c>
      <c r="C13" t="s">
        <v>57</v>
      </c>
      <c r="D13" t="s">
        <v>58</v>
      </c>
      <c r="E13" t="s">
        <v>59</v>
      </c>
      <c r="F13" t="s">
        <v>22</v>
      </c>
      <c r="G13">
        <v>16800</v>
      </c>
      <c r="H13">
        <v>2900</v>
      </c>
      <c r="I13" s="5">
        <f>Table1[[#This Row],[Profit]]/Table1[[#This Row],[Sales]]</f>
        <v>0.17261904761904762</v>
      </c>
    </row>
    <row r="14" spans="1:9" x14ac:dyDescent="0.3">
      <c r="A14" t="s">
        <v>60</v>
      </c>
      <c r="B14" s="1">
        <v>45308</v>
      </c>
      <c r="C14" t="s">
        <v>61</v>
      </c>
      <c r="D14" t="s">
        <v>41</v>
      </c>
      <c r="E14" t="s">
        <v>62</v>
      </c>
      <c r="F14" t="s">
        <v>17</v>
      </c>
      <c r="G14">
        <v>9200</v>
      </c>
      <c r="H14">
        <v>1300</v>
      </c>
      <c r="I14" s="5">
        <f>Table1[[#This Row],[Profit]]/Table1[[#This Row],[Sales]]</f>
        <v>0.14130434782608695</v>
      </c>
    </row>
    <row r="15" spans="1:9" x14ac:dyDescent="0.3">
      <c r="A15" t="s">
        <v>63</v>
      </c>
      <c r="B15" s="1">
        <v>45440</v>
      </c>
      <c r="C15" t="s">
        <v>64</v>
      </c>
      <c r="D15" t="s">
        <v>25</v>
      </c>
      <c r="E15" t="s">
        <v>65</v>
      </c>
      <c r="F15" t="s">
        <v>17</v>
      </c>
      <c r="G15">
        <v>14600</v>
      </c>
      <c r="H15">
        <v>2600</v>
      </c>
      <c r="I15" s="5">
        <f>Table1[[#This Row],[Profit]]/Table1[[#This Row],[Sales]]</f>
        <v>0.17808219178082191</v>
      </c>
    </row>
    <row r="16" spans="1:9" x14ac:dyDescent="0.3">
      <c r="A16" t="s">
        <v>66</v>
      </c>
      <c r="B16" s="1">
        <v>45699</v>
      </c>
      <c r="C16" t="s">
        <v>67</v>
      </c>
      <c r="D16" t="s">
        <v>68</v>
      </c>
      <c r="E16" t="s">
        <v>69</v>
      </c>
      <c r="F16" t="s">
        <v>22</v>
      </c>
      <c r="G16">
        <v>18800</v>
      </c>
      <c r="H16">
        <v>3700</v>
      </c>
      <c r="I16" s="5">
        <f>Table1[[#This Row],[Profit]]/Table1[[#This Row],[Sales]]</f>
        <v>0.19680851063829788</v>
      </c>
    </row>
    <row r="17" spans="1:9" x14ac:dyDescent="0.3">
      <c r="A17" t="s">
        <v>70</v>
      </c>
      <c r="B17" s="1">
        <v>45823</v>
      </c>
      <c r="C17" t="s">
        <v>71</v>
      </c>
      <c r="D17" t="s">
        <v>72</v>
      </c>
      <c r="E17" t="s">
        <v>73</v>
      </c>
      <c r="F17" t="s">
        <v>74</v>
      </c>
      <c r="G17">
        <v>17400</v>
      </c>
      <c r="H17">
        <v>3400</v>
      </c>
      <c r="I17" s="5">
        <f>Table1[[#This Row],[Profit]]/Table1[[#This Row],[Sales]]</f>
        <v>0.19540229885057472</v>
      </c>
    </row>
    <row r="18" spans="1:9" x14ac:dyDescent="0.3">
      <c r="A18" t="s">
        <v>75</v>
      </c>
      <c r="B18" s="1">
        <v>43232</v>
      </c>
      <c r="C18" t="s">
        <v>76</v>
      </c>
      <c r="D18" t="s">
        <v>15</v>
      </c>
      <c r="E18" t="s">
        <v>16</v>
      </c>
      <c r="F18" t="s">
        <v>17</v>
      </c>
      <c r="G18">
        <v>14500</v>
      </c>
      <c r="H18">
        <v>2600</v>
      </c>
      <c r="I18" s="5">
        <f>Table1[[#This Row],[Profit]]/Table1[[#This Row],[Sales]]</f>
        <v>0.1793103448275862</v>
      </c>
    </row>
    <row r="19" spans="1:9" x14ac:dyDescent="0.3">
      <c r="A19" t="s">
        <v>77</v>
      </c>
      <c r="B19" s="1">
        <v>43331</v>
      </c>
      <c r="C19" t="s">
        <v>78</v>
      </c>
      <c r="D19" t="s">
        <v>37</v>
      </c>
      <c r="E19" t="s">
        <v>38</v>
      </c>
      <c r="F19" t="s">
        <v>22</v>
      </c>
      <c r="G19">
        <v>11200</v>
      </c>
      <c r="H19">
        <v>1800</v>
      </c>
      <c r="I19" s="5">
        <f>Table1[[#This Row],[Profit]]/Table1[[#This Row],[Sales]]</f>
        <v>0.16071428571428573</v>
      </c>
    </row>
    <row r="20" spans="1:9" x14ac:dyDescent="0.3">
      <c r="A20" t="s">
        <v>79</v>
      </c>
      <c r="B20" s="1">
        <v>43490</v>
      </c>
      <c r="C20" t="s">
        <v>80</v>
      </c>
      <c r="D20" t="s">
        <v>25</v>
      </c>
      <c r="E20" t="s">
        <v>81</v>
      </c>
      <c r="F20" t="s">
        <v>17</v>
      </c>
      <c r="G20">
        <v>16800</v>
      </c>
      <c r="H20">
        <v>3100</v>
      </c>
      <c r="I20" s="5">
        <f>Table1[[#This Row],[Profit]]/Table1[[#This Row],[Sales]]</f>
        <v>0.18452380952380953</v>
      </c>
    </row>
    <row r="21" spans="1:9" x14ac:dyDescent="0.3">
      <c r="A21" t="s">
        <v>82</v>
      </c>
      <c r="B21" s="1">
        <v>43722</v>
      </c>
      <c r="C21" t="s">
        <v>83</v>
      </c>
      <c r="D21" t="s">
        <v>10</v>
      </c>
      <c r="E21" t="s">
        <v>84</v>
      </c>
      <c r="F21" t="s">
        <v>12</v>
      </c>
      <c r="G21">
        <v>18900</v>
      </c>
      <c r="H21">
        <v>3500</v>
      </c>
      <c r="I21" s="5">
        <f>Table1[[#This Row],[Profit]]/Table1[[#This Row],[Sales]]</f>
        <v>0.18518518518518517</v>
      </c>
    </row>
    <row r="22" spans="1:9" x14ac:dyDescent="0.3">
      <c r="A22" t="s">
        <v>85</v>
      </c>
      <c r="B22" s="1">
        <v>43879</v>
      </c>
      <c r="C22" t="s">
        <v>86</v>
      </c>
      <c r="D22" t="s">
        <v>87</v>
      </c>
      <c r="E22" t="s">
        <v>88</v>
      </c>
      <c r="F22" t="s">
        <v>47</v>
      </c>
      <c r="G22">
        <v>9800</v>
      </c>
      <c r="H22">
        <v>1400</v>
      </c>
      <c r="I22" s="5">
        <f>Table1[[#This Row],[Profit]]/Table1[[#This Row],[Sales]]</f>
        <v>0.14285714285714285</v>
      </c>
    </row>
    <row r="23" spans="1:9" x14ac:dyDescent="0.3">
      <c r="A23" t="s">
        <v>89</v>
      </c>
      <c r="B23" s="1">
        <v>44142</v>
      </c>
      <c r="C23" t="s">
        <v>90</v>
      </c>
      <c r="D23" t="s">
        <v>54</v>
      </c>
      <c r="E23" t="s">
        <v>55</v>
      </c>
      <c r="F23" t="s">
        <v>22</v>
      </c>
      <c r="G23">
        <v>21000</v>
      </c>
      <c r="H23">
        <v>4800</v>
      </c>
      <c r="I23" s="5">
        <f>Table1[[#This Row],[Profit]]/Table1[[#This Row],[Sales]]</f>
        <v>0.22857142857142856</v>
      </c>
    </row>
    <row r="24" spans="1:9" x14ac:dyDescent="0.3">
      <c r="A24" t="s">
        <v>91</v>
      </c>
      <c r="B24" s="1">
        <v>44265</v>
      </c>
      <c r="C24" t="s">
        <v>92</v>
      </c>
      <c r="D24" t="s">
        <v>29</v>
      </c>
      <c r="E24" t="s">
        <v>30</v>
      </c>
      <c r="F24" t="s">
        <v>12</v>
      </c>
      <c r="G24">
        <v>15400</v>
      </c>
      <c r="H24">
        <v>2900</v>
      </c>
      <c r="I24" s="5">
        <f>Table1[[#This Row],[Profit]]/Table1[[#This Row],[Sales]]</f>
        <v>0.18831168831168832</v>
      </c>
    </row>
    <row r="25" spans="1:9" x14ac:dyDescent="0.3">
      <c r="A25" t="s">
        <v>93</v>
      </c>
      <c r="B25" s="1">
        <v>44551</v>
      </c>
      <c r="C25" t="s">
        <v>94</v>
      </c>
      <c r="D25" t="s">
        <v>33</v>
      </c>
      <c r="E25" t="s">
        <v>34</v>
      </c>
      <c r="F25" t="s">
        <v>17</v>
      </c>
      <c r="G25">
        <v>13200</v>
      </c>
      <c r="H25">
        <v>2300</v>
      </c>
      <c r="I25" s="5">
        <f>Table1[[#This Row],[Profit]]/Table1[[#This Row],[Sales]]</f>
        <v>0.17424242424242425</v>
      </c>
    </row>
    <row r="26" spans="1:9" x14ac:dyDescent="0.3">
      <c r="A26" t="s">
        <v>95</v>
      </c>
      <c r="B26" s="1">
        <v>44660</v>
      </c>
      <c r="C26" t="s">
        <v>96</v>
      </c>
      <c r="D26" t="s">
        <v>72</v>
      </c>
      <c r="E26" t="s">
        <v>73</v>
      </c>
      <c r="F26" t="s">
        <v>74</v>
      </c>
      <c r="G26">
        <v>17600</v>
      </c>
      <c r="H26">
        <v>3400</v>
      </c>
      <c r="I26" s="5">
        <f>Table1[[#This Row],[Profit]]/Table1[[#This Row],[Sales]]</f>
        <v>0.19318181818181818</v>
      </c>
    </row>
    <row r="27" spans="1:9" x14ac:dyDescent="0.3">
      <c r="A27" t="s">
        <v>97</v>
      </c>
      <c r="B27" s="1">
        <v>44757</v>
      </c>
      <c r="C27" t="s">
        <v>98</v>
      </c>
      <c r="D27" t="s">
        <v>45</v>
      </c>
      <c r="E27" t="s">
        <v>46</v>
      </c>
      <c r="F27" t="s">
        <v>47</v>
      </c>
      <c r="G27">
        <v>14900</v>
      </c>
      <c r="H27">
        <v>2700</v>
      </c>
      <c r="I27" s="5">
        <f>Table1[[#This Row],[Profit]]/Table1[[#This Row],[Sales]]</f>
        <v>0.18120805369127516</v>
      </c>
    </row>
    <row r="28" spans="1:9" x14ac:dyDescent="0.3">
      <c r="A28" t="s">
        <v>99</v>
      </c>
      <c r="B28" s="1">
        <v>44862</v>
      </c>
      <c r="C28" t="s">
        <v>100</v>
      </c>
      <c r="D28" t="s">
        <v>50</v>
      </c>
      <c r="E28" t="s">
        <v>51</v>
      </c>
      <c r="F28" t="s">
        <v>17</v>
      </c>
      <c r="G28">
        <v>22000</v>
      </c>
      <c r="H28">
        <v>5100</v>
      </c>
      <c r="I28" s="5">
        <f>Table1[[#This Row],[Profit]]/Table1[[#This Row],[Sales]]</f>
        <v>0.23181818181818181</v>
      </c>
    </row>
    <row r="29" spans="1:9" x14ac:dyDescent="0.3">
      <c r="A29" t="s">
        <v>101</v>
      </c>
      <c r="B29" s="1">
        <v>44942</v>
      </c>
      <c r="C29" t="s">
        <v>102</v>
      </c>
      <c r="D29" t="s">
        <v>58</v>
      </c>
      <c r="E29" t="s">
        <v>59</v>
      </c>
      <c r="F29" t="s">
        <v>22</v>
      </c>
      <c r="G29">
        <v>19500</v>
      </c>
      <c r="H29">
        <v>4200</v>
      </c>
      <c r="I29" s="5">
        <f>Table1[[#This Row],[Profit]]/Table1[[#This Row],[Sales]]</f>
        <v>0.2153846153846154</v>
      </c>
    </row>
    <row r="30" spans="1:9" x14ac:dyDescent="0.3">
      <c r="A30" t="s">
        <v>103</v>
      </c>
      <c r="B30" s="1">
        <v>45066</v>
      </c>
      <c r="C30" t="s">
        <v>104</v>
      </c>
      <c r="D30" t="s">
        <v>41</v>
      </c>
      <c r="E30" t="s">
        <v>105</v>
      </c>
      <c r="F30" t="s">
        <v>17</v>
      </c>
      <c r="G30">
        <v>11800</v>
      </c>
      <c r="H30">
        <v>2000</v>
      </c>
      <c r="I30" s="5">
        <f>Table1[[#This Row],[Profit]]/Table1[[#This Row],[Sales]]</f>
        <v>0.16949152542372881</v>
      </c>
    </row>
    <row r="31" spans="1:9" x14ac:dyDescent="0.3">
      <c r="A31" t="s">
        <v>106</v>
      </c>
      <c r="B31" s="1">
        <v>45180</v>
      </c>
      <c r="C31" t="s">
        <v>107</v>
      </c>
      <c r="D31" t="s">
        <v>20</v>
      </c>
      <c r="E31" t="s">
        <v>21</v>
      </c>
      <c r="F31" t="s">
        <v>22</v>
      </c>
      <c r="G31">
        <v>23400</v>
      </c>
      <c r="H31">
        <v>5600</v>
      </c>
      <c r="I31" s="5">
        <f>Table1[[#This Row],[Profit]]/Table1[[#This Row],[Sales]]</f>
        <v>0.23931623931623933</v>
      </c>
    </row>
    <row r="32" spans="1:9" x14ac:dyDescent="0.3">
      <c r="A32" t="s">
        <v>108</v>
      </c>
      <c r="B32" s="1">
        <v>45327</v>
      </c>
      <c r="C32" t="s">
        <v>109</v>
      </c>
      <c r="D32" t="s">
        <v>110</v>
      </c>
      <c r="E32" t="s">
        <v>111</v>
      </c>
      <c r="F32" t="s">
        <v>17</v>
      </c>
      <c r="G32">
        <v>8700</v>
      </c>
      <c r="H32">
        <v>1200</v>
      </c>
      <c r="I32" s="5">
        <f>Table1[[#This Row],[Profit]]/Table1[[#This Row],[Sales]]</f>
        <v>0.13793103448275862</v>
      </c>
    </row>
    <row r="33" spans="1:9" x14ac:dyDescent="0.3">
      <c r="A33" t="s">
        <v>112</v>
      </c>
      <c r="B33" s="1">
        <v>45400</v>
      </c>
      <c r="C33" t="s">
        <v>113</v>
      </c>
      <c r="D33" t="s">
        <v>114</v>
      </c>
      <c r="E33" t="s">
        <v>115</v>
      </c>
      <c r="F33" t="s">
        <v>17</v>
      </c>
      <c r="G33">
        <v>13900</v>
      </c>
      <c r="H33">
        <v>2500</v>
      </c>
      <c r="I33" s="5">
        <f>Table1[[#This Row],[Profit]]/Table1[[#This Row],[Sales]]</f>
        <v>0.17985611510791366</v>
      </c>
    </row>
    <row r="34" spans="1:9" x14ac:dyDescent="0.3">
      <c r="A34" t="s">
        <v>116</v>
      </c>
      <c r="B34" s="1">
        <v>45465</v>
      </c>
      <c r="C34" t="s">
        <v>117</v>
      </c>
      <c r="D34" t="s">
        <v>29</v>
      </c>
      <c r="E34" t="s">
        <v>118</v>
      </c>
      <c r="F34" t="s">
        <v>12</v>
      </c>
      <c r="G34">
        <v>16200</v>
      </c>
      <c r="H34">
        <v>3000</v>
      </c>
      <c r="I34" s="5">
        <f>Table1[[#This Row],[Profit]]/Table1[[#This Row],[Sales]]</f>
        <v>0.18518518518518517</v>
      </c>
    </row>
    <row r="35" spans="1:9" x14ac:dyDescent="0.3">
      <c r="A35" t="s">
        <v>119</v>
      </c>
      <c r="B35" s="1">
        <v>45534</v>
      </c>
      <c r="C35" t="s">
        <v>120</v>
      </c>
      <c r="D35" t="s">
        <v>68</v>
      </c>
      <c r="E35" t="s">
        <v>69</v>
      </c>
      <c r="F35" t="s">
        <v>22</v>
      </c>
      <c r="G35">
        <v>17800</v>
      </c>
      <c r="H35">
        <v>3300</v>
      </c>
      <c r="I35" s="5">
        <f>Table1[[#This Row],[Profit]]/Table1[[#This Row],[Sales]]</f>
        <v>0.1853932584269663</v>
      </c>
    </row>
    <row r="36" spans="1:9" x14ac:dyDescent="0.3">
      <c r="A36" t="s">
        <v>121</v>
      </c>
      <c r="B36" s="1">
        <v>45579</v>
      </c>
      <c r="C36" t="s">
        <v>122</v>
      </c>
      <c r="D36" t="s">
        <v>25</v>
      </c>
      <c r="E36" t="s">
        <v>26</v>
      </c>
      <c r="F36" t="s">
        <v>17</v>
      </c>
      <c r="G36">
        <v>15200</v>
      </c>
      <c r="H36">
        <v>2800</v>
      </c>
      <c r="I36" s="5">
        <f>Table1[[#This Row],[Profit]]/Table1[[#This Row],[Sales]]</f>
        <v>0.18421052631578946</v>
      </c>
    </row>
    <row r="37" spans="1:9" x14ac:dyDescent="0.3">
      <c r="A37" t="s">
        <v>123</v>
      </c>
      <c r="B37" s="1">
        <v>45666</v>
      </c>
      <c r="C37" t="s">
        <v>124</v>
      </c>
      <c r="D37" t="s">
        <v>15</v>
      </c>
      <c r="E37" t="s">
        <v>16</v>
      </c>
      <c r="F37" t="s">
        <v>17</v>
      </c>
      <c r="G37">
        <v>20500</v>
      </c>
      <c r="H37">
        <v>4700</v>
      </c>
      <c r="I37" s="5">
        <f>Table1[[#This Row],[Profit]]/Table1[[#This Row],[Sales]]</f>
        <v>0.22926829268292684</v>
      </c>
    </row>
    <row r="38" spans="1:9" x14ac:dyDescent="0.3">
      <c r="A38" t="s">
        <v>125</v>
      </c>
      <c r="B38" s="1">
        <v>45705</v>
      </c>
      <c r="C38" t="s">
        <v>126</v>
      </c>
      <c r="D38" t="s">
        <v>72</v>
      </c>
      <c r="E38" t="s">
        <v>127</v>
      </c>
      <c r="F38" t="s">
        <v>74</v>
      </c>
      <c r="G38">
        <v>16400</v>
      </c>
      <c r="H38">
        <v>3100</v>
      </c>
      <c r="I38" s="5">
        <f>Table1[[#This Row],[Profit]]/Table1[[#This Row],[Sales]]</f>
        <v>0.18902439024390244</v>
      </c>
    </row>
    <row r="39" spans="1:9" x14ac:dyDescent="0.3">
      <c r="A39" t="s">
        <v>128</v>
      </c>
      <c r="B39" s="1">
        <v>45742</v>
      </c>
      <c r="C39" t="s">
        <v>129</v>
      </c>
      <c r="D39" t="s">
        <v>37</v>
      </c>
      <c r="E39" t="s">
        <v>130</v>
      </c>
      <c r="F39" t="s">
        <v>22</v>
      </c>
      <c r="G39">
        <v>14300</v>
      </c>
      <c r="H39">
        <v>2600</v>
      </c>
      <c r="I39" s="5">
        <f>Table1[[#This Row],[Profit]]/Table1[[#This Row],[Sales]]</f>
        <v>0.18181818181818182</v>
      </c>
    </row>
    <row r="40" spans="1:9" x14ac:dyDescent="0.3">
      <c r="A40" t="s">
        <v>131</v>
      </c>
      <c r="B40" s="1">
        <v>45759</v>
      </c>
      <c r="C40" t="s">
        <v>132</v>
      </c>
      <c r="D40" t="s">
        <v>50</v>
      </c>
      <c r="E40" t="s">
        <v>133</v>
      </c>
      <c r="F40" t="s">
        <v>17</v>
      </c>
      <c r="G40">
        <v>19000</v>
      </c>
      <c r="H40">
        <v>4000</v>
      </c>
      <c r="I40" s="5">
        <f>Table1[[#This Row],[Profit]]/Table1[[#This Row],[Sales]]</f>
        <v>0.21052631578947367</v>
      </c>
    </row>
    <row r="41" spans="1:9" x14ac:dyDescent="0.3">
      <c r="A41" t="s">
        <v>134</v>
      </c>
      <c r="B41" s="1">
        <v>45796</v>
      </c>
      <c r="C41" t="s">
        <v>135</v>
      </c>
      <c r="D41" t="s">
        <v>136</v>
      </c>
      <c r="E41" t="s">
        <v>137</v>
      </c>
      <c r="F41" t="s">
        <v>47</v>
      </c>
      <c r="G41">
        <v>12700</v>
      </c>
      <c r="H41">
        <v>2200</v>
      </c>
      <c r="I41" s="5">
        <f>Table1[[#This Row],[Profit]]/Table1[[#This Row],[Sales]]</f>
        <v>0.17322834645669291</v>
      </c>
    </row>
    <row r="42" spans="1:9" x14ac:dyDescent="0.3">
      <c r="A42" t="s">
        <v>138</v>
      </c>
      <c r="B42" s="1">
        <v>45815</v>
      </c>
      <c r="C42" t="s">
        <v>139</v>
      </c>
      <c r="D42" t="s">
        <v>10</v>
      </c>
      <c r="E42" t="s">
        <v>140</v>
      </c>
      <c r="F42" t="s">
        <v>12</v>
      </c>
      <c r="G42">
        <v>17100</v>
      </c>
      <c r="H42">
        <v>3400</v>
      </c>
      <c r="I42" s="5">
        <f>Table1[[#This Row],[Profit]]/Table1[[#This Row],[Sales]]</f>
        <v>0.19883040935672514</v>
      </c>
    </row>
    <row r="43" spans="1:9" x14ac:dyDescent="0.3">
      <c r="A43" t="s">
        <v>141</v>
      </c>
      <c r="B43" s="1">
        <v>45853</v>
      </c>
      <c r="C43" t="s">
        <v>142</v>
      </c>
      <c r="D43" t="s">
        <v>87</v>
      </c>
      <c r="E43" t="s">
        <v>143</v>
      </c>
      <c r="F43" t="s">
        <v>47</v>
      </c>
      <c r="G43">
        <v>9100</v>
      </c>
      <c r="H43">
        <v>1300</v>
      </c>
      <c r="I43" s="5">
        <f>Table1[[#This Row],[Profit]]/Table1[[#This Row],[Sales]]</f>
        <v>0.14285714285714285</v>
      </c>
    </row>
    <row r="44" spans="1:9" x14ac:dyDescent="0.3">
      <c r="A44" t="s">
        <v>144</v>
      </c>
      <c r="B44" s="1">
        <v>45890</v>
      </c>
      <c r="C44" t="s">
        <v>145</v>
      </c>
      <c r="D44" t="s">
        <v>33</v>
      </c>
      <c r="E44" t="s">
        <v>146</v>
      </c>
      <c r="F44" t="s">
        <v>17</v>
      </c>
      <c r="G44">
        <v>15800</v>
      </c>
      <c r="H44">
        <v>3000</v>
      </c>
      <c r="I44" s="5">
        <f>Table1[[#This Row],[Profit]]/Table1[[#This Row],[Sales]]</f>
        <v>0.189873417721519</v>
      </c>
    </row>
    <row r="45" spans="1:9" x14ac:dyDescent="0.3">
      <c r="A45" t="s">
        <v>147</v>
      </c>
      <c r="B45" s="1">
        <v>45905</v>
      </c>
      <c r="C45" t="s">
        <v>148</v>
      </c>
      <c r="D45" t="s">
        <v>20</v>
      </c>
      <c r="E45" t="s">
        <v>149</v>
      </c>
      <c r="F45" t="s">
        <v>22</v>
      </c>
      <c r="G45">
        <v>13600</v>
      </c>
      <c r="H45">
        <v>2400</v>
      </c>
      <c r="I45" s="5">
        <f>Table1[[#This Row],[Profit]]/Table1[[#This Row],[Sales]]</f>
        <v>0.17647058823529413</v>
      </c>
    </row>
    <row r="46" spans="1:9" x14ac:dyDescent="0.3">
      <c r="A46" t="s">
        <v>150</v>
      </c>
      <c r="B46" s="1">
        <v>45941</v>
      </c>
      <c r="C46" t="s">
        <v>151</v>
      </c>
      <c r="D46" t="s">
        <v>54</v>
      </c>
      <c r="E46" t="s">
        <v>152</v>
      </c>
      <c r="F46" t="s">
        <v>22</v>
      </c>
      <c r="G46">
        <v>22400</v>
      </c>
      <c r="H46">
        <v>5200</v>
      </c>
      <c r="I46" s="5">
        <f>Table1[[#This Row],[Profit]]/Table1[[#This Row],[Sales]]</f>
        <v>0.23214285714285715</v>
      </c>
    </row>
    <row r="47" spans="1:9" x14ac:dyDescent="0.3">
      <c r="A47" t="s">
        <v>153</v>
      </c>
      <c r="B47" s="1">
        <v>45984</v>
      </c>
      <c r="C47" t="s">
        <v>154</v>
      </c>
      <c r="D47" t="s">
        <v>72</v>
      </c>
      <c r="E47" t="s">
        <v>155</v>
      </c>
      <c r="F47" t="s">
        <v>74</v>
      </c>
      <c r="G47">
        <v>14800</v>
      </c>
      <c r="H47">
        <v>2700</v>
      </c>
      <c r="I47" s="5">
        <f>Table1[[#This Row],[Profit]]/Table1[[#This Row],[Sales]]</f>
        <v>0.18243243243243243</v>
      </c>
    </row>
    <row r="48" spans="1:9" x14ac:dyDescent="0.3">
      <c r="A48" t="s">
        <v>160</v>
      </c>
      <c r="B48" s="1">
        <v>45985</v>
      </c>
      <c r="C48" t="s">
        <v>161</v>
      </c>
      <c r="D48" t="s">
        <v>72</v>
      </c>
      <c r="E48" t="s">
        <v>127</v>
      </c>
      <c r="F48" t="s">
        <v>74</v>
      </c>
      <c r="G48">
        <v>56000</v>
      </c>
      <c r="H48">
        <v>3400</v>
      </c>
      <c r="I48" s="5">
        <f>Table1[[#This Row],[Profit]]/Table1[[#This Row],[Sales]]</f>
        <v>6.0714285714285714E-2</v>
      </c>
    </row>
    <row r="49" spans="1:9" x14ac:dyDescent="0.3">
      <c r="A49" t="s">
        <v>162</v>
      </c>
      <c r="B49" s="1">
        <v>46011</v>
      </c>
      <c r="C49" t="s">
        <v>163</v>
      </c>
      <c r="D49" t="s">
        <v>25</v>
      </c>
      <c r="E49" t="s">
        <v>26</v>
      </c>
      <c r="F49" t="s">
        <v>17</v>
      </c>
      <c r="G49">
        <v>67000</v>
      </c>
      <c r="H49">
        <v>3200</v>
      </c>
      <c r="I49" s="5">
        <f>Table1[[#This Row],[Profit]]/Table1[[#This Row],[Sales]]</f>
        <v>4.7761194029850747E-2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82A6-5BC6-4EA5-9E98-57FE9831E8D2}">
  <dimension ref="A2:O60"/>
  <sheetViews>
    <sheetView topLeftCell="A34" workbookViewId="0">
      <selection activeCell="H62" sqref="H62"/>
    </sheetView>
  </sheetViews>
  <sheetFormatPr defaultRowHeight="14.4" x14ac:dyDescent="0.3"/>
  <cols>
    <col min="1" max="1" width="20.21875" bestFit="1" customWidth="1"/>
    <col min="2" max="2" width="18.109375" bestFit="1" customWidth="1"/>
    <col min="3" max="3" width="12" bestFit="1" customWidth="1"/>
    <col min="4" max="4" width="11.6640625" bestFit="1" customWidth="1"/>
    <col min="5" max="5" width="12.109375" bestFit="1" customWidth="1"/>
    <col min="6" max="6" width="13.21875" bestFit="1" customWidth="1"/>
    <col min="7" max="7" width="14.33203125" bestFit="1" customWidth="1"/>
    <col min="8" max="8" width="10" bestFit="1" customWidth="1"/>
    <col min="9" max="9" width="14.33203125" bestFit="1" customWidth="1"/>
    <col min="10" max="10" width="15.5546875" bestFit="1" customWidth="1"/>
    <col min="11" max="11" width="12" bestFit="1" customWidth="1"/>
    <col min="12" max="12" width="6.88671875" bestFit="1" customWidth="1"/>
    <col min="13" max="13" width="6" bestFit="1" customWidth="1"/>
    <col min="14" max="14" width="5.5546875" bestFit="1" customWidth="1"/>
    <col min="15" max="15" width="12" bestFit="1" customWidth="1"/>
  </cols>
  <sheetData>
    <row r="2" spans="1:15" x14ac:dyDescent="0.3">
      <c r="G2" t="str" cm="1">
        <f t="array" aca="1" ref="G2:O50" ca="1">OFFSET(CUSTOMERS_DATA!$A$1,0,0,COUNTA(CUSTOMERS_DATA!$A:$A),COUNTA(CUSTOMERS_DATA!$1:$1))</f>
        <v>OrderId</v>
      </c>
      <c r="H2" t="str">
        <f ca="1"/>
        <v>Order Date</v>
      </c>
      <c r="I2" t="str">
        <f ca="1"/>
        <v>Customer Name</v>
      </c>
      <c r="J2" t="str">
        <f ca="1"/>
        <v>State</v>
      </c>
      <c r="K2" t="str">
        <f ca="1"/>
        <v>City</v>
      </c>
      <c r="L2" t="str">
        <f ca="1"/>
        <v>Region</v>
      </c>
      <c r="M2" t="str">
        <f ca="1"/>
        <v>Sales</v>
      </c>
      <c r="N2" t="str">
        <f ca="1"/>
        <v>Profit</v>
      </c>
      <c r="O2" s="4">
        <f ca="1"/>
        <v>0</v>
      </c>
    </row>
    <row r="3" spans="1:15" x14ac:dyDescent="0.3">
      <c r="A3" s="2" t="s">
        <v>5</v>
      </c>
      <c r="B3" s="2" t="s">
        <v>3</v>
      </c>
      <c r="C3" s="2" t="s">
        <v>4</v>
      </c>
      <c r="D3" t="s">
        <v>157</v>
      </c>
      <c r="E3" t="s">
        <v>158</v>
      </c>
      <c r="G3" t="str">
        <f ca="1"/>
        <v>KL-2018-231012</v>
      </c>
      <c r="H3">
        <f ca="1"/>
        <v>43115</v>
      </c>
      <c r="I3" t="str">
        <f ca="1"/>
        <v>Riya Sharma</v>
      </c>
      <c r="J3" t="str">
        <f ca="1"/>
        <v>Maharashtra</v>
      </c>
      <c r="K3" t="str">
        <f ca="1"/>
        <v>Mumbai</v>
      </c>
      <c r="L3" t="str">
        <f ca="1"/>
        <v>West</v>
      </c>
      <c r="M3">
        <f ca="1"/>
        <v>12500</v>
      </c>
      <c r="N3">
        <f ca="1"/>
        <v>2400</v>
      </c>
      <c r="O3" s="4">
        <f ca="1"/>
        <v>0</v>
      </c>
    </row>
    <row r="4" spans="1:15" x14ac:dyDescent="0.3">
      <c r="A4" t="s">
        <v>74</v>
      </c>
      <c r="D4">
        <v>122200</v>
      </c>
      <c r="E4">
        <v>16000</v>
      </c>
      <c r="G4" t="str">
        <f ca="1"/>
        <v>KL-2018-452178</v>
      </c>
      <c r="H4">
        <f ca="1"/>
        <v>43181</v>
      </c>
      <c r="I4" t="str">
        <f ca="1"/>
        <v>Arjun Mehta</v>
      </c>
      <c r="J4" t="str">
        <f ca="1"/>
        <v>Delhi</v>
      </c>
      <c r="K4" t="str">
        <f ca="1"/>
        <v>New Delhi</v>
      </c>
      <c r="L4" t="str">
        <f ca="1"/>
        <v>North</v>
      </c>
      <c r="M4">
        <f ca="1"/>
        <v>9800</v>
      </c>
      <c r="N4">
        <f ca="1"/>
        <v>1500</v>
      </c>
      <c r="O4" s="4">
        <f ca="1"/>
        <v>0</v>
      </c>
    </row>
    <row r="5" spans="1:15" x14ac:dyDescent="0.3">
      <c r="B5" t="s">
        <v>72</v>
      </c>
      <c r="D5">
        <v>122200</v>
      </c>
      <c r="E5">
        <v>16000</v>
      </c>
      <c r="G5" t="str">
        <f ca="1"/>
        <v>KL-2019-118945</v>
      </c>
      <c r="H5">
        <f ca="1"/>
        <v>43506</v>
      </c>
      <c r="I5" t="str">
        <f ca="1"/>
        <v>Sneha Verma</v>
      </c>
      <c r="J5" t="str">
        <f ca="1"/>
        <v>Karnataka</v>
      </c>
      <c r="K5" t="str">
        <f ca="1"/>
        <v>Bangalore</v>
      </c>
      <c r="L5" t="str">
        <f ca="1"/>
        <v>South</v>
      </c>
      <c r="M5">
        <f ca="1"/>
        <v>21500</v>
      </c>
      <c r="N5">
        <f ca="1"/>
        <v>4200</v>
      </c>
      <c r="O5" s="4">
        <f ca="1"/>
        <v>0</v>
      </c>
    </row>
    <row r="6" spans="1:15" x14ac:dyDescent="0.3">
      <c r="C6" t="s">
        <v>155</v>
      </c>
      <c r="D6">
        <v>14800</v>
      </c>
      <c r="E6">
        <v>2700</v>
      </c>
      <c r="G6" t="str">
        <f ca="1"/>
        <v>KL-2019-775421</v>
      </c>
      <c r="H6">
        <f ca="1"/>
        <v>43634</v>
      </c>
      <c r="I6" t="str">
        <f ca="1"/>
        <v>Rohit Singh</v>
      </c>
      <c r="J6" t="str">
        <f ca="1"/>
        <v>Uttar Pradesh</v>
      </c>
      <c r="K6" t="str">
        <f ca="1"/>
        <v>Lucknow</v>
      </c>
      <c r="L6" t="str">
        <f ca="1"/>
        <v>North</v>
      </c>
      <c r="M6">
        <f ca="1"/>
        <v>14300</v>
      </c>
      <c r="N6">
        <f ca="1"/>
        <v>2100</v>
      </c>
      <c r="O6" s="4">
        <f ca="1"/>
        <v>0</v>
      </c>
    </row>
    <row r="7" spans="1:15" x14ac:dyDescent="0.3">
      <c r="C7" t="s">
        <v>73</v>
      </c>
      <c r="D7">
        <v>35000</v>
      </c>
      <c r="E7">
        <v>6800</v>
      </c>
      <c r="G7" t="str">
        <f ca="1"/>
        <v>KL-2020-342190</v>
      </c>
      <c r="H7">
        <f ca="1"/>
        <v>43842</v>
      </c>
      <c r="I7" t="str">
        <f ca="1"/>
        <v>Neha Patel</v>
      </c>
      <c r="J7" t="str">
        <f ca="1"/>
        <v>Gujarat</v>
      </c>
      <c r="K7" t="str">
        <f ca="1"/>
        <v>Ahmedabad</v>
      </c>
      <c r="L7" t="str">
        <f ca="1"/>
        <v>West</v>
      </c>
      <c r="M7">
        <f ca="1"/>
        <v>16700</v>
      </c>
      <c r="N7">
        <f ca="1"/>
        <v>3000</v>
      </c>
      <c r="O7" s="4">
        <f ca="1"/>
        <v>0</v>
      </c>
    </row>
    <row r="8" spans="1:15" x14ac:dyDescent="0.3">
      <c r="C8" t="s">
        <v>127</v>
      </c>
      <c r="D8">
        <v>72400</v>
      </c>
      <c r="E8">
        <v>6500</v>
      </c>
      <c r="G8" t="str">
        <f ca="1"/>
        <v>KL-2020-908712</v>
      </c>
      <c r="H8">
        <f ca="1"/>
        <v>44099</v>
      </c>
      <c r="I8" t="str">
        <f ca="1"/>
        <v>Vikram Joshi</v>
      </c>
      <c r="J8" t="str">
        <f ca="1"/>
        <v>Rajasthan</v>
      </c>
      <c r="K8" t="str">
        <f ca="1"/>
        <v>Jaipur</v>
      </c>
      <c r="L8" t="str">
        <f ca="1"/>
        <v>North</v>
      </c>
      <c r="M8">
        <f ca="1"/>
        <v>8900</v>
      </c>
      <c r="N8">
        <f ca="1"/>
        <v>1200</v>
      </c>
      <c r="O8" s="4">
        <f ca="1"/>
        <v>0</v>
      </c>
    </row>
    <row r="9" spans="1:15" x14ac:dyDescent="0.3">
      <c r="A9" t="s">
        <v>47</v>
      </c>
      <c r="D9">
        <v>64100</v>
      </c>
      <c r="E9">
        <v>11100</v>
      </c>
      <c r="G9" t="str">
        <f ca="1"/>
        <v>KL-2021-561234</v>
      </c>
      <c r="H9">
        <f ca="1"/>
        <v>44300</v>
      </c>
      <c r="I9" t="str">
        <f ca="1"/>
        <v>Pooja Nair</v>
      </c>
      <c r="J9" t="str">
        <f ca="1"/>
        <v>Kerala</v>
      </c>
      <c r="K9" t="str">
        <f ca="1"/>
        <v>Kochi</v>
      </c>
      <c r="L9" t="str">
        <f ca="1"/>
        <v>South</v>
      </c>
      <c r="M9">
        <f ca="1"/>
        <v>15400</v>
      </c>
      <c r="N9">
        <f ca="1"/>
        <v>2700</v>
      </c>
      <c r="O9" s="4">
        <f ca="1"/>
        <v>0</v>
      </c>
    </row>
    <row r="10" spans="1:15" x14ac:dyDescent="0.3">
      <c r="B10" t="s">
        <v>87</v>
      </c>
      <c r="D10">
        <v>18900</v>
      </c>
      <c r="E10">
        <v>2700</v>
      </c>
      <c r="G10" t="str">
        <f ca="1"/>
        <v>KL-2021-882301</v>
      </c>
      <c r="H10">
        <f ca="1"/>
        <v>44530</v>
      </c>
      <c r="I10" t="str">
        <f ca="1"/>
        <v>Karan Malhotra</v>
      </c>
      <c r="J10" t="str">
        <f ca="1"/>
        <v>Punjab</v>
      </c>
      <c r="K10" t="str">
        <f ca="1"/>
        <v>Chandigarh</v>
      </c>
      <c r="L10" t="str">
        <f ca="1"/>
        <v>North</v>
      </c>
      <c r="M10">
        <f ca="1"/>
        <v>13200</v>
      </c>
      <c r="N10">
        <f ca="1"/>
        <v>2400</v>
      </c>
      <c r="O10" s="4">
        <f ca="1"/>
        <v>0</v>
      </c>
    </row>
    <row r="11" spans="1:15" x14ac:dyDescent="0.3">
      <c r="C11" t="s">
        <v>143</v>
      </c>
      <c r="D11">
        <v>9100</v>
      </c>
      <c r="E11">
        <v>1300</v>
      </c>
      <c r="G11" t="str">
        <f ca="1"/>
        <v>KL-2022-112345</v>
      </c>
      <c r="H11">
        <f ca="1"/>
        <v>44597</v>
      </c>
      <c r="I11" t="str">
        <f ca="1"/>
        <v>Ananya Gupta</v>
      </c>
      <c r="J11" t="str">
        <f ca="1"/>
        <v>West Bengal</v>
      </c>
      <c r="K11" t="str">
        <f ca="1"/>
        <v>Kolkata</v>
      </c>
      <c r="L11" t="str">
        <f ca="1"/>
        <v>East</v>
      </c>
      <c r="M11">
        <f ca="1"/>
        <v>17600</v>
      </c>
      <c r="N11">
        <f ca="1"/>
        <v>3500</v>
      </c>
      <c r="O11" s="4">
        <f ca="1"/>
        <v>0</v>
      </c>
    </row>
    <row r="12" spans="1:15" x14ac:dyDescent="0.3">
      <c r="C12" t="s">
        <v>88</v>
      </c>
      <c r="D12">
        <v>9800</v>
      </c>
      <c r="E12">
        <v>1400</v>
      </c>
      <c r="G12" t="str">
        <f ca="1"/>
        <v>KL-2022-778899</v>
      </c>
      <c r="H12">
        <f ca="1"/>
        <v>44761</v>
      </c>
      <c r="I12" t="str">
        <f ca="1"/>
        <v>Rahul Kapoor</v>
      </c>
      <c r="J12" t="str">
        <f ca="1"/>
        <v>Haryana</v>
      </c>
      <c r="K12" t="str">
        <f ca="1"/>
        <v>Gurgaon</v>
      </c>
      <c r="L12" t="str">
        <f ca="1"/>
        <v>North</v>
      </c>
      <c r="M12">
        <f ca="1"/>
        <v>22000</v>
      </c>
      <c r="N12">
        <f ca="1"/>
        <v>5000</v>
      </c>
      <c r="O12" s="4">
        <f ca="1"/>
        <v>0</v>
      </c>
    </row>
    <row r="13" spans="1:15" x14ac:dyDescent="0.3">
      <c r="B13" t="s">
        <v>136</v>
      </c>
      <c r="D13">
        <v>12700</v>
      </c>
      <c r="E13">
        <v>2200</v>
      </c>
      <c r="G13" t="str">
        <f ca="1"/>
        <v>KL-2023-445566</v>
      </c>
      <c r="H13">
        <f ca="1"/>
        <v>44993</v>
      </c>
      <c r="I13" t="str">
        <f ca="1"/>
        <v>Meera Iyer</v>
      </c>
      <c r="J13" t="str">
        <f ca="1"/>
        <v>Tamil Nadu</v>
      </c>
      <c r="K13" t="str">
        <f ca="1"/>
        <v>Chennai</v>
      </c>
      <c r="L13" t="str">
        <f ca="1"/>
        <v>South</v>
      </c>
      <c r="M13">
        <f ca="1"/>
        <v>19500</v>
      </c>
      <c r="N13">
        <f ca="1"/>
        <v>4100</v>
      </c>
      <c r="O13" s="4">
        <f ca="1"/>
        <v>0</v>
      </c>
    </row>
    <row r="14" spans="1:15" x14ac:dyDescent="0.3">
      <c r="C14" t="s">
        <v>137</v>
      </c>
      <c r="D14">
        <v>12700</v>
      </c>
      <c r="E14">
        <v>2200</v>
      </c>
      <c r="G14" t="str">
        <f ca="1"/>
        <v>KL-2023-990011</v>
      </c>
      <c r="H14">
        <f ca="1"/>
        <v>45220</v>
      </c>
      <c r="I14" t="str">
        <f ca="1"/>
        <v>Aditya Rao</v>
      </c>
      <c r="J14" t="str">
        <f ca="1"/>
        <v>Telangana</v>
      </c>
      <c r="K14" t="str">
        <f ca="1"/>
        <v>Hyderabad</v>
      </c>
      <c r="L14" t="str">
        <f ca="1"/>
        <v>South</v>
      </c>
      <c r="M14">
        <f ca="1"/>
        <v>16800</v>
      </c>
      <c r="N14">
        <f ca="1"/>
        <v>2900</v>
      </c>
      <c r="O14" s="4">
        <f ca="1"/>
        <v>0</v>
      </c>
    </row>
    <row r="15" spans="1:15" x14ac:dyDescent="0.3">
      <c r="B15" t="s">
        <v>45</v>
      </c>
      <c r="D15">
        <v>32500</v>
      </c>
      <c r="E15">
        <v>6200</v>
      </c>
      <c r="G15" t="str">
        <f ca="1"/>
        <v>KL-2024-223344</v>
      </c>
      <c r="H15">
        <f ca="1"/>
        <v>45308</v>
      </c>
      <c r="I15" t="str">
        <f ca="1"/>
        <v>Simran Kaur</v>
      </c>
      <c r="J15" t="str">
        <f ca="1"/>
        <v>Punjab</v>
      </c>
      <c r="K15" t="str">
        <f ca="1"/>
        <v>Ludhiana</v>
      </c>
      <c r="L15" t="str">
        <f ca="1"/>
        <v>North</v>
      </c>
      <c r="M15">
        <f ca="1"/>
        <v>9200</v>
      </c>
      <c r="N15">
        <f ca="1"/>
        <v>1300</v>
      </c>
      <c r="O15" s="4">
        <f ca="1"/>
        <v>0</v>
      </c>
    </row>
    <row r="16" spans="1:15" x14ac:dyDescent="0.3">
      <c r="C16" t="s">
        <v>46</v>
      </c>
      <c r="D16">
        <v>32500</v>
      </c>
      <c r="E16">
        <v>6200</v>
      </c>
      <c r="G16" t="str">
        <f ca="1"/>
        <v>KL-2024-556677</v>
      </c>
      <c r="H16">
        <f ca="1"/>
        <v>45440</v>
      </c>
      <c r="I16" t="str">
        <f ca="1"/>
        <v>Amit Tiwari</v>
      </c>
      <c r="J16" t="str">
        <f ca="1"/>
        <v>Uttar Pradesh</v>
      </c>
      <c r="K16" t="str">
        <f ca="1"/>
        <v>Kanpur</v>
      </c>
      <c r="L16" t="str">
        <f ca="1"/>
        <v>North</v>
      </c>
      <c r="M16">
        <f ca="1"/>
        <v>14600</v>
      </c>
      <c r="N16">
        <f ca="1"/>
        <v>2600</v>
      </c>
      <c r="O16" s="4">
        <f ca="1"/>
        <v>0</v>
      </c>
    </row>
    <row r="17" spans="1:15" x14ac:dyDescent="0.3">
      <c r="A17" t="s">
        <v>17</v>
      </c>
      <c r="D17">
        <v>330400</v>
      </c>
      <c r="E17">
        <v>52600</v>
      </c>
      <c r="G17" t="str">
        <f ca="1"/>
        <v>KL-2025-101112</v>
      </c>
      <c r="H17">
        <f ca="1"/>
        <v>45699</v>
      </c>
      <c r="I17" t="str">
        <f ca="1"/>
        <v>Kavya Reddy</v>
      </c>
      <c r="J17" t="str">
        <f ca="1"/>
        <v>Andhra Pradesh</v>
      </c>
      <c r="K17" t="str">
        <f ca="1"/>
        <v>Vijayawada</v>
      </c>
      <c r="L17" t="str">
        <f ca="1"/>
        <v>South</v>
      </c>
      <c r="M17">
        <f ca="1"/>
        <v>18800</v>
      </c>
      <c r="N17">
        <f ca="1"/>
        <v>3700</v>
      </c>
      <c r="O17" s="4">
        <f ca="1"/>
        <v>0</v>
      </c>
    </row>
    <row r="18" spans="1:15" x14ac:dyDescent="0.3">
      <c r="B18" t="s">
        <v>15</v>
      </c>
      <c r="D18">
        <v>44800</v>
      </c>
      <c r="E18">
        <v>8800</v>
      </c>
      <c r="G18" t="str">
        <f ca="1"/>
        <v>KL-2025-202500</v>
      </c>
      <c r="H18">
        <f ca="1"/>
        <v>45823</v>
      </c>
      <c r="I18" t="str">
        <f ca="1"/>
        <v>Saurabh Jain</v>
      </c>
      <c r="J18" t="str">
        <f ca="1"/>
        <v>Madhya Pradesh</v>
      </c>
      <c r="K18" t="str">
        <f ca="1"/>
        <v>Indore</v>
      </c>
      <c r="L18" t="str">
        <f ca="1"/>
        <v>Central</v>
      </c>
      <c r="M18">
        <f ca="1"/>
        <v>17400</v>
      </c>
      <c r="N18">
        <f ca="1"/>
        <v>3400</v>
      </c>
      <c r="O18" s="4">
        <f ca="1"/>
        <v>0</v>
      </c>
    </row>
    <row r="19" spans="1:15" x14ac:dyDescent="0.3">
      <c r="C19" t="s">
        <v>16</v>
      </c>
      <c r="D19">
        <v>44800</v>
      </c>
      <c r="E19">
        <v>8800</v>
      </c>
      <c r="G19" t="str">
        <f ca="1"/>
        <v>KL-2018-334455</v>
      </c>
      <c r="H19">
        <f ca="1"/>
        <v>43232</v>
      </c>
      <c r="I19" t="str">
        <f ca="1"/>
        <v>Ankit Sharma</v>
      </c>
      <c r="J19" t="str">
        <f ca="1"/>
        <v>Delhi</v>
      </c>
      <c r="K19" t="str">
        <f ca="1"/>
        <v>New Delhi</v>
      </c>
      <c r="L19" t="str">
        <f ca="1"/>
        <v>North</v>
      </c>
      <c r="M19">
        <f ca="1"/>
        <v>14500</v>
      </c>
      <c r="N19">
        <f ca="1"/>
        <v>2600</v>
      </c>
      <c r="O19" s="4">
        <f ca="1"/>
        <v>0</v>
      </c>
    </row>
    <row r="20" spans="1:15" x14ac:dyDescent="0.3">
      <c r="B20" t="s">
        <v>50</v>
      </c>
      <c r="D20">
        <v>63000</v>
      </c>
      <c r="E20">
        <v>14100</v>
      </c>
      <c r="G20" t="str">
        <f ca="1"/>
        <v>KL-2018-778812</v>
      </c>
      <c r="H20">
        <f ca="1"/>
        <v>43331</v>
      </c>
      <c r="I20" t="str">
        <f ca="1"/>
        <v>Priya Nair</v>
      </c>
      <c r="J20" t="str">
        <f ca="1"/>
        <v>Kerala</v>
      </c>
      <c r="K20" t="str">
        <f ca="1"/>
        <v>Kochi</v>
      </c>
      <c r="L20" t="str">
        <f ca="1"/>
        <v>South</v>
      </c>
      <c r="M20">
        <f ca="1"/>
        <v>11200</v>
      </c>
      <c r="N20">
        <f ca="1"/>
        <v>1800</v>
      </c>
      <c r="O20" s="4">
        <f ca="1"/>
        <v>0</v>
      </c>
    </row>
    <row r="21" spans="1:15" x14ac:dyDescent="0.3">
      <c r="C21" t="s">
        <v>133</v>
      </c>
      <c r="D21">
        <v>19000</v>
      </c>
      <c r="E21">
        <v>4000</v>
      </c>
      <c r="G21" t="str">
        <f ca="1"/>
        <v>KL-2019-120987</v>
      </c>
      <c r="H21">
        <f ca="1"/>
        <v>43490</v>
      </c>
      <c r="I21" t="str">
        <f ca="1"/>
        <v>Rahul Verma</v>
      </c>
      <c r="J21" t="str">
        <f ca="1"/>
        <v>Uttar Pradesh</v>
      </c>
      <c r="K21" t="str">
        <f ca="1"/>
        <v>Noida</v>
      </c>
      <c r="L21" t="str">
        <f ca="1"/>
        <v>North</v>
      </c>
      <c r="M21">
        <f ca="1"/>
        <v>16800</v>
      </c>
      <c r="N21">
        <f ca="1"/>
        <v>3100</v>
      </c>
      <c r="O21" s="4">
        <f ca="1"/>
        <v>0</v>
      </c>
    </row>
    <row r="22" spans="1:15" x14ac:dyDescent="0.3">
      <c r="C22" t="s">
        <v>51</v>
      </c>
      <c r="D22">
        <v>44000</v>
      </c>
      <c r="E22">
        <v>10100</v>
      </c>
      <c r="G22" t="str">
        <f ca="1"/>
        <v>KL-2019-654321</v>
      </c>
      <c r="H22">
        <f ca="1"/>
        <v>43722</v>
      </c>
      <c r="I22" t="str">
        <f ca="1"/>
        <v>Sakshi Gupta</v>
      </c>
      <c r="J22" t="str">
        <f ca="1"/>
        <v>Maharashtra</v>
      </c>
      <c r="K22" t="str">
        <f ca="1"/>
        <v>Pune</v>
      </c>
      <c r="L22" t="str">
        <f ca="1"/>
        <v>West</v>
      </c>
      <c r="M22">
        <f ca="1"/>
        <v>18900</v>
      </c>
      <c r="N22">
        <f ca="1"/>
        <v>3500</v>
      </c>
      <c r="O22" s="4">
        <f ca="1"/>
        <v>0</v>
      </c>
    </row>
    <row r="23" spans="1:15" x14ac:dyDescent="0.3">
      <c r="B23" t="s">
        <v>110</v>
      </c>
      <c r="D23">
        <v>8700</v>
      </c>
      <c r="E23">
        <v>1200</v>
      </c>
      <c r="G23" t="str">
        <f ca="1"/>
        <v>KL-2020-345678</v>
      </c>
      <c r="H23">
        <f ca="1"/>
        <v>43879</v>
      </c>
      <c r="I23" t="str">
        <f ca="1"/>
        <v>Manoj Yadav</v>
      </c>
      <c r="J23" t="str">
        <f ca="1"/>
        <v>Bihar</v>
      </c>
      <c r="K23" t="str">
        <f ca="1"/>
        <v>Patna</v>
      </c>
      <c r="L23" t="str">
        <f ca="1"/>
        <v>East</v>
      </c>
      <c r="M23">
        <f ca="1"/>
        <v>9800</v>
      </c>
      <c r="N23">
        <f ca="1"/>
        <v>1400</v>
      </c>
      <c r="O23" s="4">
        <f ca="1"/>
        <v>0</v>
      </c>
    </row>
    <row r="24" spans="1:15" x14ac:dyDescent="0.3">
      <c r="C24" t="s">
        <v>111</v>
      </c>
      <c r="D24">
        <v>8700</v>
      </c>
      <c r="E24">
        <v>1200</v>
      </c>
      <c r="G24" t="str">
        <f ca="1"/>
        <v>KL-2020-987654</v>
      </c>
      <c r="H24">
        <f ca="1"/>
        <v>44142</v>
      </c>
      <c r="I24" t="str">
        <f ca="1"/>
        <v>Divya Iyer</v>
      </c>
      <c r="J24" t="str">
        <f ca="1"/>
        <v>Tamil Nadu</v>
      </c>
      <c r="K24" t="str">
        <f ca="1"/>
        <v>Chennai</v>
      </c>
      <c r="L24" t="str">
        <f ca="1"/>
        <v>South</v>
      </c>
      <c r="M24">
        <f ca="1"/>
        <v>21000</v>
      </c>
      <c r="N24">
        <f ca="1"/>
        <v>4800</v>
      </c>
      <c r="O24" s="4">
        <f ca="1"/>
        <v>0</v>
      </c>
    </row>
    <row r="25" spans="1:15" x14ac:dyDescent="0.3">
      <c r="B25" t="s">
        <v>41</v>
      </c>
      <c r="D25">
        <v>34200</v>
      </c>
      <c r="E25">
        <v>5700</v>
      </c>
      <c r="G25" t="str">
        <f ca="1"/>
        <v>KL-2021-456123</v>
      </c>
      <c r="H25">
        <f ca="1"/>
        <v>44265</v>
      </c>
      <c r="I25" t="str">
        <f ca="1"/>
        <v>Kunal Mehta</v>
      </c>
      <c r="J25" t="str">
        <f ca="1"/>
        <v>Gujarat</v>
      </c>
      <c r="K25" t="str">
        <f ca="1"/>
        <v>Ahmedabad</v>
      </c>
      <c r="L25" t="str">
        <f ca="1"/>
        <v>West</v>
      </c>
      <c r="M25">
        <f ca="1"/>
        <v>15400</v>
      </c>
      <c r="N25">
        <f ca="1"/>
        <v>2900</v>
      </c>
      <c r="O25" s="4">
        <f ca="1"/>
        <v>0</v>
      </c>
    </row>
    <row r="26" spans="1:15" x14ac:dyDescent="0.3">
      <c r="C26" t="s">
        <v>62</v>
      </c>
      <c r="D26">
        <v>9200</v>
      </c>
      <c r="E26">
        <v>1300</v>
      </c>
      <c r="G26" t="str">
        <f ca="1"/>
        <v>KL-2021-789321</v>
      </c>
      <c r="H26">
        <f ca="1"/>
        <v>44551</v>
      </c>
      <c r="I26" t="str">
        <f ca="1"/>
        <v>Neha Singh</v>
      </c>
      <c r="J26" t="str">
        <f ca="1"/>
        <v>Rajasthan</v>
      </c>
      <c r="K26" t="str">
        <f ca="1"/>
        <v>Jaipur</v>
      </c>
      <c r="L26" t="str">
        <f ca="1"/>
        <v>North</v>
      </c>
      <c r="M26">
        <f ca="1"/>
        <v>13200</v>
      </c>
      <c r="N26">
        <f ca="1"/>
        <v>2300</v>
      </c>
      <c r="O26" s="4">
        <f ca="1"/>
        <v>0</v>
      </c>
    </row>
    <row r="27" spans="1:15" x14ac:dyDescent="0.3">
      <c r="C27" t="s">
        <v>105</v>
      </c>
      <c r="D27">
        <v>11800</v>
      </c>
      <c r="E27">
        <v>2000</v>
      </c>
      <c r="G27" t="str">
        <f ca="1"/>
        <v>KL-2022-112233</v>
      </c>
      <c r="H27">
        <f ca="1"/>
        <v>44660</v>
      </c>
      <c r="I27" t="str">
        <f ca="1"/>
        <v>Arpit Jain</v>
      </c>
      <c r="J27" t="str">
        <f ca="1"/>
        <v>Madhya Pradesh</v>
      </c>
      <c r="K27" t="str">
        <f ca="1"/>
        <v>Indore</v>
      </c>
      <c r="L27" t="str">
        <f ca="1"/>
        <v>Central</v>
      </c>
      <c r="M27">
        <f ca="1"/>
        <v>17600</v>
      </c>
      <c r="N27">
        <f ca="1"/>
        <v>3400</v>
      </c>
      <c r="O27" s="4">
        <f ca="1"/>
        <v>0</v>
      </c>
    </row>
    <row r="28" spans="1:15" x14ac:dyDescent="0.3">
      <c r="C28" t="s">
        <v>42</v>
      </c>
      <c r="D28">
        <v>13200</v>
      </c>
      <c r="E28">
        <v>2400</v>
      </c>
      <c r="G28" t="str">
        <f ca="1"/>
        <v>KL-2022-445577</v>
      </c>
      <c r="H28">
        <f ca="1"/>
        <v>44757</v>
      </c>
      <c r="I28" t="str">
        <f ca="1"/>
        <v>Megha Das</v>
      </c>
      <c r="J28" t="str">
        <f ca="1"/>
        <v>West Bengal</v>
      </c>
      <c r="K28" t="str">
        <f ca="1"/>
        <v>Kolkata</v>
      </c>
      <c r="L28" t="str">
        <f ca="1"/>
        <v>East</v>
      </c>
      <c r="M28">
        <f ca="1"/>
        <v>14900</v>
      </c>
      <c r="N28">
        <f ca="1"/>
        <v>2700</v>
      </c>
      <c r="O28" s="4">
        <f ca="1"/>
        <v>0</v>
      </c>
    </row>
    <row r="29" spans="1:15" x14ac:dyDescent="0.3">
      <c r="B29" t="s">
        <v>33</v>
      </c>
      <c r="D29">
        <v>37900</v>
      </c>
      <c r="E29">
        <v>6500</v>
      </c>
      <c r="G29" t="str">
        <f ca="1"/>
        <v>KL-2022-998877</v>
      </c>
      <c r="H29">
        <f ca="1"/>
        <v>44862</v>
      </c>
      <c r="I29" t="str">
        <f ca="1"/>
        <v>Vivek Kapoor</v>
      </c>
      <c r="J29" t="str">
        <f ca="1"/>
        <v>Haryana</v>
      </c>
      <c r="K29" t="str">
        <f ca="1"/>
        <v>Gurgaon</v>
      </c>
      <c r="L29" t="str">
        <f ca="1"/>
        <v>North</v>
      </c>
      <c r="M29">
        <f ca="1"/>
        <v>22000</v>
      </c>
      <c r="N29">
        <f ca="1"/>
        <v>5100</v>
      </c>
      <c r="O29" s="4">
        <f ca="1"/>
        <v>0</v>
      </c>
    </row>
    <row r="30" spans="1:15" x14ac:dyDescent="0.3">
      <c r="C30" t="s">
        <v>146</v>
      </c>
      <c r="D30">
        <v>15800</v>
      </c>
      <c r="E30">
        <v>3000</v>
      </c>
      <c r="G30" t="str">
        <f ca="1"/>
        <v>KL-2023-223311</v>
      </c>
      <c r="H30">
        <f ca="1"/>
        <v>44942</v>
      </c>
      <c r="I30" t="str">
        <f ca="1"/>
        <v>Aditi Rao</v>
      </c>
      <c r="J30" t="str">
        <f ca="1"/>
        <v>Telangana</v>
      </c>
      <c r="K30" t="str">
        <f ca="1"/>
        <v>Hyderabad</v>
      </c>
      <c r="L30" t="str">
        <f ca="1"/>
        <v>South</v>
      </c>
      <c r="M30">
        <f ca="1"/>
        <v>19500</v>
      </c>
      <c r="N30">
        <f ca="1"/>
        <v>4200</v>
      </c>
      <c r="O30" s="4">
        <f ca="1"/>
        <v>0</v>
      </c>
    </row>
    <row r="31" spans="1:15" x14ac:dyDescent="0.3">
      <c r="C31" t="s">
        <v>34</v>
      </c>
      <c r="D31">
        <v>22100</v>
      </c>
      <c r="E31">
        <v>3500</v>
      </c>
      <c r="G31" t="str">
        <f ca="1"/>
        <v>KL-2023-667788</v>
      </c>
      <c r="H31">
        <f ca="1"/>
        <v>45066</v>
      </c>
      <c r="I31" t="str">
        <f ca="1"/>
        <v>Rohan Malhotra</v>
      </c>
      <c r="J31" t="str">
        <f ca="1"/>
        <v>Punjab</v>
      </c>
      <c r="K31" t="str">
        <f ca="1"/>
        <v>Amritsar</v>
      </c>
      <c r="L31" t="str">
        <f ca="1"/>
        <v>North</v>
      </c>
      <c r="M31">
        <f ca="1"/>
        <v>11800</v>
      </c>
      <c r="N31">
        <f ca="1"/>
        <v>2000</v>
      </c>
      <c r="O31" s="4">
        <f ca="1"/>
        <v>0</v>
      </c>
    </row>
    <row r="32" spans="1:15" x14ac:dyDescent="0.3">
      <c r="B32" t="s">
        <v>25</v>
      </c>
      <c r="D32">
        <v>127900</v>
      </c>
      <c r="E32">
        <v>13800</v>
      </c>
      <c r="G32" t="str">
        <f ca="1"/>
        <v>KL-2023-889900</v>
      </c>
      <c r="H32">
        <f ca="1"/>
        <v>45180</v>
      </c>
      <c r="I32" t="str">
        <f ca="1"/>
        <v>Shreya Kulkarni</v>
      </c>
      <c r="J32" t="str">
        <f ca="1"/>
        <v>Karnataka</v>
      </c>
      <c r="K32" t="str">
        <f ca="1"/>
        <v>Bangalore</v>
      </c>
      <c r="L32" t="str">
        <f ca="1"/>
        <v>South</v>
      </c>
      <c r="M32">
        <f ca="1"/>
        <v>23400</v>
      </c>
      <c r="N32">
        <f ca="1"/>
        <v>5600</v>
      </c>
      <c r="O32" s="4">
        <f ca="1"/>
        <v>0</v>
      </c>
    </row>
    <row r="33" spans="1:15" x14ac:dyDescent="0.3">
      <c r="C33" t="s">
        <v>65</v>
      </c>
      <c r="D33">
        <v>14600</v>
      </c>
      <c r="E33">
        <v>2600</v>
      </c>
      <c r="G33" t="str">
        <f ca="1"/>
        <v>KL-2024-101213</v>
      </c>
      <c r="H33">
        <f ca="1"/>
        <v>45327</v>
      </c>
      <c r="I33" t="str">
        <f ca="1"/>
        <v>Nitin Arora</v>
      </c>
      <c r="J33" t="str">
        <f ca="1"/>
        <v>Himachal Pradesh</v>
      </c>
      <c r="K33" t="str">
        <f ca="1"/>
        <v>Shimla</v>
      </c>
      <c r="L33" t="str">
        <f ca="1"/>
        <v>North</v>
      </c>
      <c r="M33">
        <f ca="1"/>
        <v>8700</v>
      </c>
      <c r="N33">
        <f ca="1"/>
        <v>1200</v>
      </c>
      <c r="O33" s="4">
        <f ca="1"/>
        <v>0</v>
      </c>
    </row>
    <row r="34" spans="1:15" x14ac:dyDescent="0.3">
      <c r="C34" t="s">
        <v>81</v>
      </c>
      <c r="D34">
        <v>16800</v>
      </c>
      <c r="E34">
        <v>3100</v>
      </c>
      <c r="G34" t="str">
        <f ca="1"/>
        <v>KL-2024-141516</v>
      </c>
      <c r="H34">
        <f ca="1"/>
        <v>45400</v>
      </c>
      <c r="I34" t="str">
        <f ca="1"/>
        <v>Kritika Sharma</v>
      </c>
      <c r="J34" t="str">
        <f ca="1"/>
        <v>Uttarakhand</v>
      </c>
      <c r="K34" t="str">
        <f ca="1"/>
        <v>Dehradun</v>
      </c>
      <c r="L34" t="str">
        <f ca="1"/>
        <v>North</v>
      </c>
      <c r="M34">
        <f ca="1"/>
        <v>13900</v>
      </c>
      <c r="N34">
        <f ca="1"/>
        <v>2500</v>
      </c>
      <c r="O34" s="4">
        <f ca="1"/>
        <v>0</v>
      </c>
    </row>
    <row r="35" spans="1:15" x14ac:dyDescent="0.3">
      <c r="C35" t="s">
        <v>26</v>
      </c>
      <c r="D35">
        <v>96500</v>
      </c>
      <c r="E35">
        <v>8100</v>
      </c>
      <c r="G35" t="str">
        <f ca="1"/>
        <v>KL-2024-171819</v>
      </c>
      <c r="H35">
        <f ca="1"/>
        <v>45465</v>
      </c>
      <c r="I35" t="str">
        <f ca="1"/>
        <v>Harsh Patel</v>
      </c>
      <c r="J35" t="str">
        <f ca="1"/>
        <v>Gujarat</v>
      </c>
      <c r="K35" t="str">
        <f ca="1"/>
        <v>Surat</v>
      </c>
      <c r="L35" t="str">
        <f ca="1"/>
        <v>West</v>
      </c>
      <c r="M35">
        <f ca="1"/>
        <v>16200</v>
      </c>
      <c r="N35">
        <f ca="1"/>
        <v>3000</v>
      </c>
      <c r="O35" s="4">
        <f ca="1"/>
        <v>0</v>
      </c>
    </row>
    <row r="36" spans="1:15" x14ac:dyDescent="0.3">
      <c r="B36" t="s">
        <v>114</v>
      </c>
      <c r="D36">
        <v>13900</v>
      </c>
      <c r="E36">
        <v>2500</v>
      </c>
      <c r="G36" t="str">
        <f ca="1"/>
        <v>KL-2024-202122</v>
      </c>
      <c r="H36">
        <f ca="1"/>
        <v>45534</v>
      </c>
      <c r="I36" t="str">
        <f ca="1"/>
        <v>Pallavi Reddy</v>
      </c>
      <c r="J36" t="str">
        <f ca="1"/>
        <v>Andhra Pradesh</v>
      </c>
      <c r="K36" t="str">
        <f ca="1"/>
        <v>Vijayawada</v>
      </c>
      <c r="L36" t="str">
        <f ca="1"/>
        <v>South</v>
      </c>
      <c r="M36">
        <f ca="1"/>
        <v>17800</v>
      </c>
      <c r="N36">
        <f ca="1"/>
        <v>3300</v>
      </c>
      <c r="O36" s="4">
        <f ca="1"/>
        <v>0</v>
      </c>
    </row>
    <row r="37" spans="1:15" x14ac:dyDescent="0.3">
      <c r="C37" t="s">
        <v>115</v>
      </c>
      <c r="D37">
        <v>13900</v>
      </c>
      <c r="E37">
        <v>2500</v>
      </c>
      <c r="G37" t="str">
        <f ca="1"/>
        <v>KL-2024-232425</v>
      </c>
      <c r="H37">
        <f ca="1"/>
        <v>45579</v>
      </c>
      <c r="I37" t="str">
        <f ca="1"/>
        <v>Abhishek Tiwari</v>
      </c>
      <c r="J37" t="str">
        <f ca="1"/>
        <v>Uttar Pradesh</v>
      </c>
      <c r="K37" t="str">
        <f ca="1"/>
        <v>Lucknow</v>
      </c>
      <c r="L37" t="str">
        <f ca="1"/>
        <v>North</v>
      </c>
      <c r="M37">
        <f ca="1"/>
        <v>15200</v>
      </c>
      <c r="N37">
        <f ca="1"/>
        <v>2800</v>
      </c>
      <c r="O37" s="4">
        <f ca="1"/>
        <v>0</v>
      </c>
    </row>
    <row r="38" spans="1:15" x14ac:dyDescent="0.3">
      <c r="A38" t="s">
        <v>22</v>
      </c>
      <c r="D38">
        <v>235200</v>
      </c>
      <c r="E38">
        <v>47500</v>
      </c>
      <c r="G38" t="str">
        <f ca="1"/>
        <v>KL-2025-262728</v>
      </c>
      <c r="H38">
        <f ca="1"/>
        <v>45666</v>
      </c>
      <c r="I38" t="str">
        <f ca="1"/>
        <v>Sanya Kapoor</v>
      </c>
      <c r="J38" t="str">
        <f ca="1"/>
        <v>Delhi</v>
      </c>
      <c r="K38" t="str">
        <f ca="1"/>
        <v>New Delhi</v>
      </c>
      <c r="L38" t="str">
        <f ca="1"/>
        <v>North</v>
      </c>
      <c r="M38">
        <f ca="1"/>
        <v>20500</v>
      </c>
      <c r="N38">
        <f ca="1"/>
        <v>4700</v>
      </c>
      <c r="O38" s="4">
        <f ca="1"/>
        <v>0</v>
      </c>
    </row>
    <row r="39" spans="1:15" x14ac:dyDescent="0.3">
      <c r="B39" t="s">
        <v>68</v>
      </c>
      <c r="D39">
        <v>36600</v>
      </c>
      <c r="E39">
        <v>7000</v>
      </c>
      <c r="G39" t="str">
        <f ca="1"/>
        <v>KL-2025-293031</v>
      </c>
      <c r="H39">
        <f ca="1"/>
        <v>45705</v>
      </c>
      <c r="I39" t="str">
        <f ca="1"/>
        <v>Ritesh Dubey</v>
      </c>
      <c r="J39" t="str">
        <f ca="1"/>
        <v>Madhya Pradesh</v>
      </c>
      <c r="K39" t="str">
        <f ca="1"/>
        <v>Bhopal</v>
      </c>
      <c r="L39" t="str">
        <f ca="1"/>
        <v>Central</v>
      </c>
      <c r="M39">
        <f ca="1"/>
        <v>16400</v>
      </c>
      <c r="N39">
        <f ca="1"/>
        <v>3100</v>
      </c>
      <c r="O39" s="4">
        <f ca="1"/>
        <v>0</v>
      </c>
    </row>
    <row r="40" spans="1:15" x14ac:dyDescent="0.3">
      <c r="C40" t="s">
        <v>69</v>
      </c>
      <c r="D40">
        <v>36600</v>
      </c>
      <c r="E40">
        <v>7000</v>
      </c>
      <c r="G40" t="str">
        <f ca="1"/>
        <v>KL-2025-323334</v>
      </c>
      <c r="H40">
        <f ca="1"/>
        <v>45742</v>
      </c>
      <c r="I40" t="str">
        <f ca="1"/>
        <v>Isha Menon</v>
      </c>
      <c r="J40" t="str">
        <f ca="1"/>
        <v>Kerala</v>
      </c>
      <c r="K40" t="str">
        <f ca="1"/>
        <v>Trivandrum</v>
      </c>
      <c r="L40" t="str">
        <f ca="1"/>
        <v>South</v>
      </c>
      <c r="M40">
        <f ca="1"/>
        <v>14300</v>
      </c>
      <c r="N40">
        <f ca="1"/>
        <v>2600</v>
      </c>
      <c r="O40" s="4">
        <f ca="1"/>
        <v>0</v>
      </c>
    </row>
    <row r="41" spans="1:15" x14ac:dyDescent="0.3">
      <c r="B41" t="s">
        <v>20</v>
      </c>
      <c r="D41">
        <v>58500</v>
      </c>
      <c r="E41">
        <v>12200</v>
      </c>
      <c r="G41" t="str">
        <f ca="1"/>
        <v>KL-2025-353637</v>
      </c>
      <c r="H41">
        <f ca="1"/>
        <v>45759</v>
      </c>
      <c r="I41" t="str">
        <f ca="1"/>
        <v>Akash Bansal</v>
      </c>
      <c r="J41" t="str">
        <f ca="1"/>
        <v>Haryana</v>
      </c>
      <c r="K41" t="str">
        <f ca="1"/>
        <v>Faridabad</v>
      </c>
      <c r="L41" t="str">
        <f ca="1"/>
        <v>North</v>
      </c>
      <c r="M41">
        <f ca="1"/>
        <v>19000</v>
      </c>
      <c r="N41">
        <f ca="1"/>
        <v>4000</v>
      </c>
      <c r="O41" s="4">
        <f ca="1"/>
        <v>0</v>
      </c>
    </row>
    <row r="42" spans="1:15" x14ac:dyDescent="0.3">
      <c r="C42" t="s">
        <v>149</v>
      </c>
      <c r="D42">
        <v>13600</v>
      </c>
      <c r="E42">
        <v>2400</v>
      </c>
      <c r="G42" t="str">
        <f ca="1"/>
        <v>KL-2025-383940</v>
      </c>
      <c r="H42">
        <f ca="1"/>
        <v>45796</v>
      </c>
      <c r="I42" t="str">
        <f ca="1"/>
        <v>Swati Mishra</v>
      </c>
      <c r="J42" t="str">
        <f ca="1"/>
        <v>Odisha</v>
      </c>
      <c r="K42" t="str">
        <f ca="1"/>
        <v>Bhubaneswar</v>
      </c>
      <c r="L42" t="str">
        <f ca="1"/>
        <v>East</v>
      </c>
      <c r="M42">
        <f ca="1"/>
        <v>12700</v>
      </c>
      <c r="N42">
        <f ca="1"/>
        <v>2200</v>
      </c>
      <c r="O42" s="4">
        <f ca="1"/>
        <v>0</v>
      </c>
    </row>
    <row r="43" spans="1:15" x14ac:dyDescent="0.3">
      <c r="C43" t="s">
        <v>21</v>
      </c>
      <c r="D43">
        <v>44900</v>
      </c>
      <c r="E43">
        <v>9800</v>
      </c>
      <c r="G43" t="str">
        <f ca="1"/>
        <v>KL-2025-414243</v>
      </c>
      <c r="H43">
        <f ca="1"/>
        <v>45815</v>
      </c>
      <c r="I43" t="str">
        <f ca="1"/>
        <v>Tarun Chawla</v>
      </c>
      <c r="J43" t="str">
        <f ca="1"/>
        <v>Maharashtra</v>
      </c>
      <c r="K43" t="str">
        <f ca="1"/>
        <v>Nagpur</v>
      </c>
      <c r="L43" t="str">
        <f ca="1"/>
        <v>West</v>
      </c>
      <c r="M43">
        <f ca="1"/>
        <v>17100</v>
      </c>
      <c r="N43">
        <f ca="1"/>
        <v>3400</v>
      </c>
      <c r="O43" s="4">
        <f ca="1"/>
        <v>0</v>
      </c>
    </row>
    <row r="44" spans="1:15" x14ac:dyDescent="0.3">
      <c r="B44" t="s">
        <v>37</v>
      </c>
      <c r="D44">
        <v>40900</v>
      </c>
      <c r="E44">
        <v>7100</v>
      </c>
      <c r="G44" t="str">
        <f ca="1"/>
        <v>KL-2025-444546</v>
      </c>
      <c r="H44">
        <f ca="1"/>
        <v>45853</v>
      </c>
      <c r="I44" t="str">
        <f ca="1"/>
        <v>Rashmi Sinha</v>
      </c>
      <c r="J44" t="str">
        <f ca="1"/>
        <v>Bihar</v>
      </c>
      <c r="K44" t="str">
        <f ca="1"/>
        <v>Gaya</v>
      </c>
      <c r="L44" t="str">
        <f ca="1"/>
        <v>East</v>
      </c>
      <c r="M44">
        <f ca="1"/>
        <v>9100</v>
      </c>
      <c r="N44">
        <f ca="1"/>
        <v>1300</v>
      </c>
      <c r="O44" s="4">
        <f ca="1"/>
        <v>0</v>
      </c>
    </row>
    <row r="45" spans="1:15" x14ac:dyDescent="0.3">
      <c r="C45" t="s">
        <v>130</v>
      </c>
      <c r="D45">
        <v>14300</v>
      </c>
      <c r="E45">
        <v>2600</v>
      </c>
      <c r="G45" t="str">
        <f ca="1"/>
        <v>KL-2025-474849</v>
      </c>
      <c r="H45">
        <f ca="1"/>
        <v>45890</v>
      </c>
      <c r="I45" t="str">
        <f ca="1"/>
        <v>Aditya Saxena</v>
      </c>
      <c r="J45" t="str">
        <f ca="1"/>
        <v>Rajasthan</v>
      </c>
      <c r="K45" t="str">
        <f ca="1"/>
        <v>Udaipur</v>
      </c>
      <c r="L45" t="str">
        <f ca="1"/>
        <v>North</v>
      </c>
      <c r="M45">
        <f ca="1"/>
        <v>15800</v>
      </c>
      <c r="N45">
        <f ca="1"/>
        <v>3000</v>
      </c>
      <c r="O45" s="4">
        <f ca="1"/>
        <v>0</v>
      </c>
    </row>
    <row r="46" spans="1:15" x14ac:dyDescent="0.3">
      <c r="C46" t="s">
        <v>38</v>
      </c>
      <c r="D46">
        <v>26600</v>
      </c>
      <c r="E46">
        <v>4500</v>
      </c>
      <c r="G46" t="str">
        <f ca="1"/>
        <v>KL-2025-505152</v>
      </c>
      <c r="H46">
        <f ca="1"/>
        <v>45905</v>
      </c>
      <c r="I46" t="str">
        <f ca="1"/>
        <v>Komal Verma</v>
      </c>
      <c r="J46" t="str">
        <f ca="1"/>
        <v>Karnataka</v>
      </c>
      <c r="K46" t="str">
        <f ca="1"/>
        <v>Mysore</v>
      </c>
      <c r="L46" t="str">
        <f ca="1"/>
        <v>South</v>
      </c>
      <c r="M46">
        <f ca="1"/>
        <v>13600</v>
      </c>
      <c r="N46">
        <f ca="1"/>
        <v>2400</v>
      </c>
      <c r="O46" s="4">
        <f ca="1"/>
        <v>0</v>
      </c>
    </row>
    <row r="47" spans="1:15" x14ac:dyDescent="0.3">
      <c r="B47" t="s">
        <v>54</v>
      </c>
      <c r="D47">
        <v>62900</v>
      </c>
      <c r="E47">
        <v>14100</v>
      </c>
      <c r="G47" t="str">
        <f ca="1"/>
        <v>KL-2025-535455</v>
      </c>
      <c r="H47">
        <f ca="1"/>
        <v>45941</v>
      </c>
      <c r="I47" t="str">
        <f ca="1"/>
        <v>Varun Nair</v>
      </c>
      <c r="J47" t="str">
        <f ca="1"/>
        <v>Tamil Nadu</v>
      </c>
      <c r="K47" t="str">
        <f ca="1"/>
        <v>Coimbatore</v>
      </c>
      <c r="L47" t="str">
        <f ca="1"/>
        <v>South</v>
      </c>
      <c r="M47">
        <f ca="1"/>
        <v>22400</v>
      </c>
      <c r="N47">
        <f ca="1"/>
        <v>5200</v>
      </c>
      <c r="O47" s="4">
        <f ca="1"/>
        <v>0</v>
      </c>
    </row>
    <row r="48" spans="1:15" x14ac:dyDescent="0.3">
      <c r="C48" t="s">
        <v>152</v>
      </c>
      <c r="D48">
        <v>22400</v>
      </c>
      <c r="E48">
        <v>5200</v>
      </c>
      <c r="G48" t="str">
        <f ca="1"/>
        <v>KL-2025-565758</v>
      </c>
      <c r="H48">
        <f ca="1"/>
        <v>45984</v>
      </c>
      <c r="I48" t="str">
        <f ca="1"/>
        <v>Preeti Joshi</v>
      </c>
      <c r="J48" t="str">
        <f ca="1"/>
        <v>Madhya Pradesh</v>
      </c>
      <c r="K48" t="str">
        <f ca="1"/>
        <v>Gwalior</v>
      </c>
      <c r="L48" t="str">
        <f ca="1"/>
        <v>Central</v>
      </c>
      <c r="M48">
        <f ca="1"/>
        <v>14800</v>
      </c>
      <c r="N48">
        <f ca="1"/>
        <v>2700</v>
      </c>
      <c r="O48" s="4">
        <f ca="1"/>
        <v>0</v>
      </c>
    </row>
    <row r="49" spans="1:15" x14ac:dyDescent="0.3">
      <c r="C49" t="s">
        <v>55</v>
      </c>
      <c r="D49">
        <v>40500</v>
      </c>
      <c r="E49">
        <v>8900</v>
      </c>
      <c r="G49" t="str">
        <f ca="1"/>
        <v>KL-2025-565759</v>
      </c>
      <c r="H49">
        <f ca="1"/>
        <v>45985</v>
      </c>
      <c r="I49" t="str">
        <f ca="1"/>
        <v>Preeti Sen</v>
      </c>
      <c r="J49" t="str">
        <f ca="1"/>
        <v>Madhya Pradesh</v>
      </c>
      <c r="K49" t="str">
        <f ca="1"/>
        <v>Bhopal</v>
      </c>
      <c r="L49" t="str">
        <f ca="1"/>
        <v>Central</v>
      </c>
      <c r="M49">
        <f ca="1"/>
        <v>56000</v>
      </c>
      <c r="N49">
        <f ca="1"/>
        <v>3400</v>
      </c>
      <c r="O49" s="4">
        <f ca="1"/>
        <v>0</v>
      </c>
    </row>
    <row r="50" spans="1:15" x14ac:dyDescent="0.3">
      <c r="B50" t="s">
        <v>58</v>
      </c>
      <c r="D50">
        <v>36300</v>
      </c>
      <c r="E50">
        <v>7100</v>
      </c>
      <c r="G50" t="str">
        <f ca="1"/>
        <v>KL-2025-565260</v>
      </c>
      <c r="H50">
        <f ca="1"/>
        <v>46011</v>
      </c>
      <c r="I50" t="str">
        <f ca="1"/>
        <v>Aayush Pateriya</v>
      </c>
      <c r="J50" t="str">
        <f ca="1"/>
        <v>Uttar Pradesh</v>
      </c>
      <c r="K50" t="str">
        <f ca="1"/>
        <v>Lucknow</v>
      </c>
      <c r="L50" t="str">
        <f ca="1"/>
        <v>North</v>
      </c>
      <c r="M50">
        <f ca="1"/>
        <v>67000</v>
      </c>
      <c r="N50">
        <f ca="1"/>
        <v>3200</v>
      </c>
      <c r="O50" s="4">
        <f ca="1"/>
        <v>0</v>
      </c>
    </row>
    <row r="51" spans="1:15" x14ac:dyDescent="0.3">
      <c r="C51" t="s">
        <v>59</v>
      </c>
      <c r="D51">
        <v>36300</v>
      </c>
      <c r="E51">
        <v>7100</v>
      </c>
    </row>
    <row r="52" spans="1:15" x14ac:dyDescent="0.3">
      <c r="A52" t="s">
        <v>12</v>
      </c>
      <c r="D52">
        <v>96800</v>
      </c>
      <c r="E52">
        <v>18200</v>
      </c>
    </row>
    <row r="53" spans="1:15" x14ac:dyDescent="0.3">
      <c r="B53" t="s">
        <v>29</v>
      </c>
      <c r="D53">
        <v>48300</v>
      </c>
      <c r="E53">
        <v>8900</v>
      </c>
    </row>
    <row r="54" spans="1:15" x14ac:dyDescent="0.3">
      <c r="C54" t="s">
        <v>118</v>
      </c>
      <c r="D54">
        <v>16200</v>
      </c>
      <c r="E54">
        <v>3000</v>
      </c>
    </row>
    <row r="55" spans="1:15" x14ac:dyDescent="0.3">
      <c r="C55" t="s">
        <v>30</v>
      </c>
      <c r="D55">
        <v>32100</v>
      </c>
      <c r="E55">
        <v>5900</v>
      </c>
    </row>
    <row r="56" spans="1:15" x14ac:dyDescent="0.3">
      <c r="B56" t="s">
        <v>10</v>
      </c>
      <c r="D56">
        <v>48500</v>
      </c>
      <c r="E56">
        <v>9300</v>
      </c>
    </row>
    <row r="57" spans="1:15" x14ac:dyDescent="0.3">
      <c r="C57" t="s">
        <v>11</v>
      </c>
      <c r="D57">
        <v>12500</v>
      </c>
      <c r="E57">
        <v>2400</v>
      </c>
    </row>
    <row r="58" spans="1:15" x14ac:dyDescent="0.3">
      <c r="C58" t="s">
        <v>140</v>
      </c>
      <c r="D58">
        <v>17100</v>
      </c>
      <c r="E58">
        <v>3400</v>
      </c>
    </row>
    <row r="59" spans="1:15" x14ac:dyDescent="0.3">
      <c r="C59" t="s">
        <v>84</v>
      </c>
      <c r="D59">
        <v>18900</v>
      </c>
      <c r="E59">
        <v>3500</v>
      </c>
    </row>
    <row r="60" spans="1:15" x14ac:dyDescent="0.3">
      <c r="A60" t="s">
        <v>156</v>
      </c>
      <c r="D60">
        <v>848700</v>
      </c>
      <c r="E60">
        <v>145400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CUSTOMERS_DATA</vt:lpstr>
      <vt:lpstr>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aayush pateriya</cp:lastModifiedBy>
  <dcterms:created xsi:type="dcterms:W3CDTF">2026-02-22T20:11:19Z</dcterms:created>
  <dcterms:modified xsi:type="dcterms:W3CDTF">2026-02-23T05:52:35Z</dcterms:modified>
</cp:coreProperties>
</file>