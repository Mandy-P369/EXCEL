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c81b0e6ad29d4c/Desktop/EXCEL/"/>
    </mc:Choice>
  </mc:AlternateContent>
  <xr:revisionPtr revIDLastSave="40" documentId="14_{1BDFA104-8345-4017-BC2E-A15007D43082}" xr6:coauthVersionLast="47" xr6:coauthVersionMax="47" xr10:uidLastSave="{294CAC3F-170A-435A-96AD-14EEE169117B}"/>
  <bookViews>
    <workbookView xWindow="-108" yWindow="-108" windowWidth="23256" windowHeight="13176" activeTab="2" xr2:uid="{1247689D-0154-4ECE-BF7B-519D7114FC69}"/>
  </bookViews>
  <sheets>
    <sheet name="VLOOKUP" sheetId="1" r:id="rId1"/>
    <sheet name="DDATA_VLOOKUP" sheetId="2" r:id="rId2"/>
    <sheet name="Sheet1" sheetId="3" r:id="rId3"/>
  </sheets>
  <definedNames>
    <definedName name="ddata">DDATA_VLOOKUP!$J$1:$K$27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2" i="3"/>
  <c r="G30" i="3" a="1"/>
  <c r="G30" i="3" s="1"/>
  <c r="G3" i="3" a="1"/>
  <c r="G3" i="3" s="1"/>
  <c r="G4" i="3" a="1"/>
  <c r="G4" i="3"/>
  <c r="G5" i="3" a="1"/>
  <c r="G5" i="3"/>
  <c r="G6" i="3" a="1"/>
  <c r="G6" i="3"/>
  <c r="G7" i="3" a="1"/>
  <c r="G7" i="3"/>
  <c r="G8" i="3" a="1"/>
  <c r="G8" i="3"/>
  <c r="G9" i="3" a="1"/>
  <c r="G9" i="3" s="1"/>
  <c r="G10" i="3" a="1"/>
  <c r="G10" i="3"/>
  <c r="G11" i="3" a="1"/>
  <c r="G11" i="3"/>
  <c r="G12" i="3" a="1"/>
  <c r="G12" i="3"/>
  <c r="G13" i="3" a="1"/>
  <c r="G13" i="3"/>
  <c r="G14" i="3" a="1"/>
  <c r="G14" i="3"/>
  <c r="G15" i="3" a="1"/>
  <c r="G15" i="3" s="1"/>
  <c r="G16" i="3" a="1"/>
  <c r="G16" i="3"/>
  <c r="G17" i="3" a="1"/>
  <c r="G17" i="3"/>
  <c r="G18" i="3" a="1"/>
  <c r="G18" i="3"/>
  <c r="G19" i="3" a="1"/>
  <c r="G19" i="3"/>
  <c r="G20" i="3" a="1"/>
  <c r="G20" i="3"/>
  <c r="G21" i="3" a="1"/>
  <c r="G21" i="3" s="1"/>
  <c r="G22" i="3" a="1"/>
  <c r="G22" i="3"/>
  <c r="G23" i="3" a="1"/>
  <c r="G23" i="3" s="1"/>
  <c r="G24" i="3" a="1"/>
  <c r="G24" i="3" s="1"/>
  <c r="G25" i="3" a="1"/>
  <c r="G25" i="3" s="1"/>
  <c r="G26" i="3" a="1"/>
  <c r="G26" i="3" s="1"/>
  <c r="G27" i="3" a="1"/>
  <c r="G27" i="3" s="1"/>
  <c r="G28" i="3" a="1"/>
  <c r="G28" i="3" s="1"/>
  <c r="G29" i="3" a="1"/>
  <c r="G29" i="3" s="1"/>
  <c r="G31" i="3" a="1"/>
  <c r="G31" i="3"/>
  <c r="G2" i="3" a="1"/>
  <c r="G2" i="3" s="1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2" i="2"/>
  <c r="I3" i="1"/>
  <c r="I5" i="1" l="1"/>
  <c r="I2" i="1"/>
  <c r="I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<sst xmlns="http://schemas.openxmlformats.org/spreadsheetml/2006/main" count="234" uniqueCount="86">
  <si>
    <t>NAME</t>
  </si>
  <si>
    <t>DEPARTMENT</t>
  </si>
  <si>
    <t>WORKING_YEARS</t>
  </si>
  <si>
    <t>SALARY</t>
  </si>
  <si>
    <t>JOINING_DATE</t>
  </si>
  <si>
    <t>Amit Sharma</t>
  </si>
  <si>
    <t>Sales</t>
  </si>
  <si>
    <t>Neha Verma</t>
  </si>
  <si>
    <t>Marketing</t>
  </si>
  <si>
    <t>Rahul Singh</t>
  </si>
  <si>
    <t>Finance</t>
  </si>
  <si>
    <t>Priya Gupta</t>
  </si>
  <si>
    <t>Human Resources</t>
  </si>
  <si>
    <t>Karan Mehta</t>
  </si>
  <si>
    <t>Information Technology</t>
  </si>
  <si>
    <t>Sneha Kapoor</t>
  </si>
  <si>
    <t>Customer Support</t>
  </si>
  <si>
    <t>Rohit Agarwal</t>
  </si>
  <si>
    <t>Operations</t>
  </si>
  <si>
    <t>Pooja Jain</t>
  </si>
  <si>
    <t>Research and Development</t>
  </si>
  <si>
    <t>Vikas Yadav</t>
  </si>
  <si>
    <t>Procurement</t>
  </si>
  <si>
    <t>Anjali Mishra</t>
  </si>
  <si>
    <t>Logistics</t>
  </si>
  <si>
    <t>Arjun Nair</t>
  </si>
  <si>
    <t>Administration</t>
  </si>
  <si>
    <t>Kavita Iyer</t>
  </si>
  <si>
    <t>Legal</t>
  </si>
  <si>
    <t>Manish Tiwari</t>
  </si>
  <si>
    <t>Quality Assurance</t>
  </si>
  <si>
    <t>Simran Kaur</t>
  </si>
  <si>
    <t>Product Management</t>
  </si>
  <si>
    <t>Deepak Chauhan</t>
  </si>
  <si>
    <t>Business Development</t>
  </si>
  <si>
    <t>Ritika Sinha</t>
  </si>
  <si>
    <t>Training and Development</t>
  </si>
  <si>
    <t>Aditya Patel</t>
  </si>
  <si>
    <t>Data Analytics</t>
  </si>
  <si>
    <t>Meera Nanda</t>
  </si>
  <si>
    <t>Public Relations</t>
  </si>
  <si>
    <t>Sanjay Gupta</t>
  </si>
  <si>
    <t>Risk Management</t>
  </si>
  <si>
    <t>Nisha Arora</t>
  </si>
  <si>
    <t>Strategy and Planning</t>
  </si>
  <si>
    <t>Tarun Khanna</t>
  </si>
  <si>
    <t>Riya Malhotra</t>
  </si>
  <si>
    <t>Vivek Bansal</t>
  </si>
  <si>
    <t>Shalini Saxena</t>
  </si>
  <si>
    <t>Nitin Choudhary</t>
  </si>
  <si>
    <t>Aarti Desai</t>
  </si>
  <si>
    <t>Mohit Suri</t>
  </si>
  <si>
    <t>Divya Batra</t>
  </si>
  <si>
    <t>Akash Verma</t>
  </si>
  <si>
    <t>Sonal Gupta</t>
  </si>
  <si>
    <t>EMPLOYEE TYPE</t>
  </si>
  <si>
    <t>GRADE</t>
  </si>
  <si>
    <t>GRADE1</t>
  </si>
  <si>
    <t>GRADE2</t>
  </si>
  <si>
    <t>GRADE3</t>
  </si>
  <si>
    <t>GRADE4</t>
  </si>
  <si>
    <t>GRADE5</t>
  </si>
  <si>
    <t>GRADE6</t>
  </si>
  <si>
    <t>GRADE7</t>
  </si>
  <si>
    <t>GRADE8</t>
  </si>
  <si>
    <t>GRADE9</t>
  </si>
  <si>
    <t>GRADE10</t>
  </si>
  <si>
    <t>GRADE11</t>
  </si>
  <si>
    <t>GRADE12</t>
  </si>
  <si>
    <t>GRADE13</t>
  </si>
  <si>
    <t>GRADE14</t>
  </si>
  <si>
    <t>GRADE15</t>
  </si>
  <si>
    <t>GRADE16</t>
  </si>
  <si>
    <t>GRADE17</t>
  </si>
  <si>
    <t>GRADE18</t>
  </si>
  <si>
    <t>GRADE19</t>
  </si>
  <si>
    <t>GRADE20</t>
  </si>
  <si>
    <t>GRADE21</t>
  </si>
  <si>
    <t>GRADE22</t>
  </si>
  <si>
    <t>GRADE23</t>
  </si>
  <si>
    <t>GRADE24</t>
  </si>
  <si>
    <t>GRADE25</t>
  </si>
  <si>
    <t>GRADE26</t>
  </si>
  <si>
    <t>INCENTIVE</t>
  </si>
  <si>
    <t>TOTALSALARY</t>
  </si>
  <si>
    <t>IMPLEMENTING 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</si>
</sst>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9">
    <xf numFmtId="0" fontId="0" fillId="0" borderId="0" xfId="0"/>
    <xf numFmtId="0" fontId="1" fillId="2" borderId="1" xfId="1" applyAlignment="1">
      <alignment horizontal="left" vertical="center"/>
    </xf>
    <xf numFmtId="0" fontId="1" fillId="2" borderId="1" xfId="1" applyNumberFormat="1" applyAlignment="1">
      <alignment horizontal="left" vertical="center"/>
    </xf>
    <xf numFmtId="164" fontId="1" fillId="2" borderId="1" xfId="1" applyNumberFormat="1" applyAlignment="1">
      <alignment horizontal="left" vertical="center"/>
    </xf>
    <xf numFmtId="14" fontId="1" fillId="2" borderId="1" xfId="1" applyNumberFormat="1" applyAlignment="1">
      <alignment horizontal="left" vertical="center"/>
    </xf>
    <xf numFmtId="0" fontId="1" fillId="3" borderId="0" xfId="1" applyFill="1" applyBorder="1" applyAlignment="1">
      <alignment horizontal="left" vertical="center"/>
    </xf>
    <xf numFmtId="0" fontId="1" fillId="3" borderId="1" xfId="1" applyFill="1" applyAlignment="1">
      <alignment horizontal="left" vertical="center"/>
    </xf>
    <xf numFmtId="14" fontId="0" fillId="0" borderId="0" xfId="0" applyNumberFormat="1"/>
    <xf numFmtId="0" fontId="0" fillId="4" borderId="0" xfId="0" applyFill="1"/>
    <xf numFmtId="165" fontId="1" fillId="2" borderId="1" xfId="1" applyNumberFormat="1" applyAlignment="1">
      <alignment horizontal="left" vertical="center"/>
    </xf>
    <xf numFmtId="0" fontId="1" fillId="2" borderId="1" xfId="1"/>
    <xf numFmtId="0" fontId="2" fillId="5" borderId="1" xfId="1" applyFont="1" applyFill="1" applyAlignment="1">
      <alignment horizontal="left" vertical="center"/>
    </xf>
    <xf numFmtId="0" fontId="2" fillId="5" borderId="1" xfId="1" applyFont="1" applyFill="1"/>
    <xf numFmtId="0" fontId="2" fillId="5" borderId="2" xfId="1" applyFont="1" applyFill="1" applyBorder="1" applyAlignment="1">
      <alignment horizontal="left" vertical="center"/>
    </xf>
    <xf numFmtId="164" fontId="1" fillId="2" borderId="1" xfId="1" applyNumberFormat="1"/>
    <xf numFmtId="164" fontId="2" fillId="5" borderId="1" xfId="1" applyNumberFormat="1" applyFont="1" applyFill="1" applyAlignment="1">
      <alignment horizontal="left" vertical="center"/>
    </xf>
    <xf numFmtId="164" fontId="0" fillId="0" borderId="0" xfId="0" applyNumberFormat="1"/>
    <xf numFmtId="164" fontId="2" fillId="5" borderId="2" xfId="1" applyNumberFormat="1" applyFont="1" applyFill="1" applyBorder="1" applyAlignment="1">
      <alignment horizontal="left" vertical="center"/>
    </xf>
    <xf numFmtId="0" fontId="2" fillId="6" borderId="0" xfId="0" applyFont="1" applyFill="1" applyAlignment="1">
      <alignment horizontal="center"/>
    </xf>
  </cellXfs>
  <cellStyles count="2">
    <cellStyle name="Normal" xfId="0" builtinId="0"/>
    <cellStyle name="Output" xfId="1" builtinId="21"/>
  </cellStyles>
  <dxfs count="1">
    <dxf>
      <fill>
        <patternFill patternType="solid">
          <fgColor indexed="64"/>
          <bgColor theme="4" tint="0.39997558519241921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EBDF93-4E89-4544-887F-21AED6906FDF}" name="Table1" displayName="Table1" ref="H1:I5" totalsRowShown="0">
  <tableColumns count="2">
    <tableColumn id="1" xr3:uid="{649F62F0-583C-4920-A3AB-8E24886498BC}" name="NAME" dataDxfId="0" dataCellStyle="Output"/>
    <tableColumn id="2" xr3:uid="{A5408225-CD01-4515-BBA6-AB1C0FDF99B1}" name="Akash Ver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19A68-8503-4473-B844-9FF2DF56331E}">
  <dimension ref="A1:I31"/>
  <sheetViews>
    <sheetView topLeftCell="A3" workbookViewId="0">
      <selection sqref="A1:E31"/>
    </sheetView>
  </sheetViews>
  <sheetFormatPr defaultRowHeight="14.4" x14ac:dyDescent="0.3"/>
  <cols>
    <col min="1" max="1" width="15.44140625" bestFit="1" customWidth="1"/>
    <col min="2" max="2" width="24.33203125" bestFit="1" customWidth="1"/>
    <col min="3" max="3" width="15.88671875" bestFit="1" customWidth="1"/>
    <col min="4" max="4" width="10.5546875" bestFit="1" customWidth="1"/>
    <col min="5" max="5" width="13.5546875" bestFit="1" customWidth="1"/>
    <col min="8" max="8" width="15.88671875" bestFit="1" customWidth="1"/>
    <col min="9" max="9" width="23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5" t="s">
        <v>0</v>
      </c>
      <c r="I1" s="8" t="s">
        <v>53</v>
      </c>
    </row>
    <row r="2" spans="1:9" x14ac:dyDescent="0.3">
      <c r="A2" s="1" t="s">
        <v>5</v>
      </c>
      <c r="B2" s="1" t="s">
        <v>6</v>
      </c>
      <c r="C2" s="2">
        <v>8</v>
      </c>
      <c r="D2" s="3">
        <v>45000</v>
      </c>
      <c r="E2" s="4">
        <v>44664</v>
      </c>
      <c r="H2" s="6" t="s">
        <v>1</v>
      </c>
      <c r="I2" t="str">
        <f>VLOOKUP(I1,A1:E31,2,0)</f>
        <v>Procurement</v>
      </c>
    </row>
    <row r="3" spans="1:9" x14ac:dyDescent="0.3">
      <c r="A3" s="1" t="s">
        <v>7</v>
      </c>
      <c r="B3" s="1" t="s">
        <v>8</v>
      </c>
      <c r="C3" s="2">
        <v>9</v>
      </c>
      <c r="D3" s="3">
        <v>42000</v>
      </c>
      <c r="E3" s="4">
        <v>43904</v>
      </c>
      <c r="H3" s="6" t="s">
        <v>2</v>
      </c>
      <c r="I3">
        <f>VLOOKUP(I1,A1:E31,3,0)</f>
        <v>8</v>
      </c>
    </row>
    <row r="4" spans="1:9" x14ac:dyDescent="0.3">
      <c r="A4" s="1" t="s">
        <v>9</v>
      </c>
      <c r="B4" s="1" t="s">
        <v>10</v>
      </c>
      <c r="C4" s="2">
        <v>8</v>
      </c>
      <c r="D4" s="3">
        <v>55000</v>
      </c>
      <c r="E4" s="4">
        <v>45501</v>
      </c>
      <c r="H4" s="6" t="s">
        <v>3</v>
      </c>
      <c r="I4">
        <f>VLOOKUP(I1,A1:E31,4,0)</f>
        <v>43000</v>
      </c>
    </row>
    <row r="5" spans="1:9" x14ac:dyDescent="0.3">
      <c r="A5" s="1" t="s">
        <v>11</v>
      </c>
      <c r="B5" s="1" t="s">
        <v>12</v>
      </c>
      <c r="C5" s="2">
        <v>7</v>
      </c>
      <c r="D5" s="3">
        <v>40000</v>
      </c>
      <c r="E5" s="4">
        <v>44399</v>
      </c>
      <c r="H5" s="6" t="s">
        <v>4</v>
      </c>
      <c r="I5" s="7">
        <f>VLOOKUP(I1,A1:E31,5,0)</f>
        <v>45021</v>
      </c>
    </row>
    <row r="6" spans="1:9" x14ac:dyDescent="0.3">
      <c r="A6" s="1" t="s">
        <v>13</v>
      </c>
      <c r="B6" s="1" t="s">
        <v>14</v>
      </c>
      <c r="C6" s="2">
        <v>9</v>
      </c>
      <c r="D6" s="3">
        <v>65000</v>
      </c>
      <c r="E6" s="4">
        <v>45286</v>
      </c>
    </row>
    <row r="7" spans="1:9" x14ac:dyDescent="0.3">
      <c r="A7" s="1" t="s">
        <v>15</v>
      </c>
      <c r="B7" s="1" t="s">
        <v>16</v>
      </c>
      <c r="C7" s="2">
        <v>8</v>
      </c>
      <c r="D7" s="3">
        <v>35000</v>
      </c>
      <c r="E7" s="4">
        <v>45332</v>
      </c>
    </row>
    <row r="8" spans="1:9" x14ac:dyDescent="0.3">
      <c r="A8" s="1" t="s">
        <v>17</v>
      </c>
      <c r="B8" s="1" t="s">
        <v>18</v>
      </c>
      <c r="C8" s="2">
        <v>10</v>
      </c>
      <c r="D8" s="3">
        <v>50000</v>
      </c>
      <c r="E8" s="4">
        <v>45057</v>
      </c>
    </row>
    <row r="9" spans="1:9" x14ac:dyDescent="0.3">
      <c r="A9" s="1" t="s">
        <v>19</v>
      </c>
      <c r="B9" s="1" t="s">
        <v>20</v>
      </c>
      <c r="C9" s="2">
        <v>9</v>
      </c>
      <c r="D9" s="3">
        <v>70000</v>
      </c>
      <c r="E9" s="4">
        <v>44063</v>
      </c>
    </row>
    <row r="10" spans="1:9" x14ac:dyDescent="0.3">
      <c r="A10" s="1" t="s">
        <v>21</v>
      </c>
      <c r="B10" s="1" t="s">
        <v>22</v>
      </c>
      <c r="C10" s="2">
        <v>8</v>
      </c>
      <c r="D10" s="3">
        <v>42000</v>
      </c>
      <c r="E10" s="4">
        <v>44097</v>
      </c>
    </row>
    <row r="11" spans="1:9" x14ac:dyDescent="0.3">
      <c r="A11" s="1" t="s">
        <v>23</v>
      </c>
      <c r="B11" s="1" t="s">
        <v>24</v>
      </c>
      <c r="C11" s="2">
        <v>7</v>
      </c>
      <c r="D11" s="3">
        <v>38000</v>
      </c>
      <c r="E11" s="4">
        <v>45157</v>
      </c>
    </row>
    <row r="12" spans="1:9" x14ac:dyDescent="0.3">
      <c r="A12" s="1" t="s">
        <v>25</v>
      </c>
      <c r="B12" s="1" t="s">
        <v>26</v>
      </c>
      <c r="C12" s="2">
        <v>8</v>
      </c>
      <c r="D12" s="3">
        <v>36000</v>
      </c>
      <c r="E12" s="4">
        <v>44189</v>
      </c>
    </row>
    <row r="13" spans="1:9" x14ac:dyDescent="0.3">
      <c r="A13" s="1" t="s">
        <v>27</v>
      </c>
      <c r="B13" s="1" t="s">
        <v>28</v>
      </c>
      <c r="C13" s="2">
        <v>9</v>
      </c>
      <c r="D13" s="3">
        <v>60000</v>
      </c>
      <c r="E13" s="4">
        <v>45489</v>
      </c>
    </row>
    <row r="14" spans="1:9" x14ac:dyDescent="0.3">
      <c r="A14" s="1" t="s">
        <v>29</v>
      </c>
      <c r="B14" s="1" t="s">
        <v>30</v>
      </c>
      <c r="C14" s="2">
        <v>8</v>
      </c>
      <c r="D14" s="3">
        <v>48000</v>
      </c>
      <c r="E14" s="4">
        <v>45296</v>
      </c>
    </row>
    <row r="15" spans="1:9" x14ac:dyDescent="0.3">
      <c r="A15" s="1" t="s">
        <v>31</v>
      </c>
      <c r="B15" s="1" t="s">
        <v>32</v>
      </c>
      <c r="C15" s="2">
        <v>9</v>
      </c>
      <c r="D15" s="3">
        <v>62000</v>
      </c>
      <c r="E15" s="4">
        <v>45024</v>
      </c>
    </row>
    <row r="16" spans="1:9" x14ac:dyDescent="0.3">
      <c r="A16" s="1" t="s">
        <v>33</v>
      </c>
      <c r="B16" s="1" t="s">
        <v>34</v>
      </c>
      <c r="C16" s="2">
        <v>10</v>
      </c>
      <c r="D16" s="3">
        <v>58000</v>
      </c>
      <c r="E16" s="4">
        <v>44411</v>
      </c>
    </row>
    <row r="17" spans="1:5" x14ac:dyDescent="0.3">
      <c r="A17" s="1" t="s">
        <v>35</v>
      </c>
      <c r="B17" s="1" t="s">
        <v>36</v>
      </c>
      <c r="C17" s="2">
        <v>8</v>
      </c>
      <c r="D17" s="3">
        <v>41000</v>
      </c>
      <c r="E17" s="4">
        <v>45087</v>
      </c>
    </row>
    <row r="18" spans="1:5" x14ac:dyDescent="0.3">
      <c r="A18" s="1" t="s">
        <v>37</v>
      </c>
      <c r="B18" s="1" t="s">
        <v>38</v>
      </c>
      <c r="C18" s="2">
        <v>9</v>
      </c>
      <c r="D18" s="3">
        <v>67000</v>
      </c>
      <c r="E18" s="4">
        <v>44852</v>
      </c>
    </row>
    <row r="19" spans="1:5" x14ac:dyDescent="0.3">
      <c r="A19" s="1" t="s">
        <v>39</v>
      </c>
      <c r="B19" s="1" t="s">
        <v>40</v>
      </c>
      <c r="C19" s="2">
        <v>7</v>
      </c>
      <c r="D19" s="3">
        <v>39000</v>
      </c>
      <c r="E19" s="4">
        <v>45231</v>
      </c>
    </row>
    <row r="20" spans="1:5" x14ac:dyDescent="0.3">
      <c r="A20" s="1" t="s">
        <v>41</v>
      </c>
      <c r="B20" s="1" t="s">
        <v>42</v>
      </c>
      <c r="C20" s="2">
        <v>8</v>
      </c>
      <c r="D20" s="3">
        <v>52000</v>
      </c>
      <c r="E20" s="4">
        <v>45486</v>
      </c>
    </row>
    <row r="21" spans="1:5" x14ac:dyDescent="0.3">
      <c r="A21" s="1" t="s">
        <v>43</v>
      </c>
      <c r="B21" s="1" t="s">
        <v>44</v>
      </c>
      <c r="C21" s="2">
        <v>9</v>
      </c>
      <c r="D21" s="3">
        <v>61000</v>
      </c>
      <c r="E21" s="4">
        <v>44335</v>
      </c>
    </row>
    <row r="22" spans="1:5" x14ac:dyDescent="0.3">
      <c r="A22" s="1" t="s">
        <v>45</v>
      </c>
      <c r="B22" s="1" t="s">
        <v>6</v>
      </c>
      <c r="C22" s="2">
        <v>10</v>
      </c>
      <c r="D22" s="3">
        <v>47000</v>
      </c>
      <c r="E22" s="4">
        <v>44338</v>
      </c>
    </row>
    <row r="23" spans="1:5" x14ac:dyDescent="0.3">
      <c r="A23" s="1" t="s">
        <v>46</v>
      </c>
      <c r="B23" s="1" t="s">
        <v>8</v>
      </c>
      <c r="C23" s="2">
        <v>8</v>
      </c>
      <c r="D23" s="3">
        <v>43000</v>
      </c>
      <c r="E23" s="4">
        <v>44781</v>
      </c>
    </row>
    <row r="24" spans="1:5" x14ac:dyDescent="0.3">
      <c r="A24" s="1" t="s">
        <v>47</v>
      </c>
      <c r="B24" s="1" t="s">
        <v>10</v>
      </c>
      <c r="C24" s="2">
        <v>9</v>
      </c>
      <c r="D24" s="3">
        <v>56000</v>
      </c>
      <c r="E24" s="4">
        <v>45517</v>
      </c>
    </row>
    <row r="25" spans="1:5" x14ac:dyDescent="0.3">
      <c r="A25" s="1" t="s">
        <v>48</v>
      </c>
      <c r="B25" s="1" t="s">
        <v>12</v>
      </c>
      <c r="C25" s="2">
        <v>8</v>
      </c>
      <c r="D25" s="3">
        <v>41000</v>
      </c>
      <c r="E25" s="4">
        <v>44285</v>
      </c>
    </row>
    <row r="26" spans="1:5" x14ac:dyDescent="0.3">
      <c r="A26" s="1" t="s">
        <v>49</v>
      </c>
      <c r="B26" s="1" t="s">
        <v>14</v>
      </c>
      <c r="C26" s="2">
        <v>10</v>
      </c>
      <c r="D26" s="3">
        <v>68000</v>
      </c>
      <c r="E26" s="4">
        <v>43916</v>
      </c>
    </row>
    <row r="27" spans="1:5" x14ac:dyDescent="0.3">
      <c r="A27" s="1" t="s">
        <v>50</v>
      </c>
      <c r="B27" s="1" t="s">
        <v>16</v>
      </c>
      <c r="C27" s="2">
        <v>7</v>
      </c>
      <c r="D27" s="3">
        <v>34000</v>
      </c>
      <c r="E27" s="4">
        <v>44361</v>
      </c>
    </row>
    <row r="28" spans="1:5" x14ac:dyDescent="0.3">
      <c r="A28" s="1" t="s">
        <v>51</v>
      </c>
      <c r="B28" s="1" t="s">
        <v>18</v>
      </c>
      <c r="C28" s="2">
        <v>9</v>
      </c>
      <c r="D28" s="3">
        <v>51000</v>
      </c>
      <c r="E28" s="4">
        <v>45571</v>
      </c>
    </row>
    <row r="29" spans="1:5" x14ac:dyDescent="0.3">
      <c r="A29" s="1" t="s">
        <v>52</v>
      </c>
      <c r="B29" s="1" t="s">
        <v>20</v>
      </c>
      <c r="C29" s="2">
        <v>8</v>
      </c>
      <c r="D29" s="3">
        <v>72000</v>
      </c>
      <c r="E29" s="4">
        <v>44616</v>
      </c>
    </row>
    <row r="30" spans="1:5" x14ac:dyDescent="0.3">
      <c r="A30" s="1" t="s">
        <v>53</v>
      </c>
      <c r="B30" s="1" t="s">
        <v>22</v>
      </c>
      <c r="C30" s="2">
        <v>8</v>
      </c>
      <c r="D30" s="3">
        <v>43000</v>
      </c>
      <c r="E30" s="4">
        <v>45021</v>
      </c>
    </row>
    <row r="31" spans="1:5" x14ac:dyDescent="0.3">
      <c r="A31" s="1" t="s">
        <v>54</v>
      </c>
      <c r="B31" s="1" t="s">
        <v>24</v>
      </c>
      <c r="C31" s="2">
        <v>9</v>
      </c>
      <c r="D31" s="3">
        <v>39000</v>
      </c>
      <c r="E31" s="4">
        <v>44829</v>
      </c>
    </row>
  </sheetData>
  <dataValidations count="1">
    <dataValidation type="list" allowBlank="1" showInputMessage="1" showErrorMessage="1" sqref="I1" xr:uid="{F9BCD082-86F9-4B39-A988-8486B69EFE99}">
      <formula1>$A$2:$A$31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EAEB-DB42-4DC3-A72E-C271A389BB0D}">
  <dimension ref="A1:K31"/>
  <sheetViews>
    <sheetView topLeftCell="A3" workbookViewId="0">
      <selection sqref="A1:F31"/>
    </sheetView>
  </sheetViews>
  <sheetFormatPr defaultRowHeight="14.4" x14ac:dyDescent="0.3"/>
  <cols>
    <col min="1" max="1" width="15.44140625" bestFit="1" customWidth="1"/>
    <col min="2" max="2" width="24.33203125" bestFit="1" customWidth="1"/>
    <col min="3" max="3" width="15.88671875" bestFit="1" customWidth="1"/>
    <col min="4" max="4" width="11.5546875" bestFit="1" customWidth="1"/>
    <col min="5" max="5" width="13.5546875" bestFit="1" customWidth="1"/>
    <col min="6" max="6" width="14.77734375" bestFit="1" customWidth="1"/>
    <col min="11" max="11" width="8.6640625" bestFit="1" customWidth="1"/>
  </cols>
  <sheetData>
    <row r="1" spans="1:1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55</v>
      </c>
      <c r="J1" s="12" t="s">
        <v>3</v>
      </c>
      <c r="K1" s="12" t="s">
        <v>56</v>
      </c>
    </row>
    <row r="2" spans="1:11" x14ac:dyDescent="0.3">
      <c r="A2" s="1" t="s">
        <v>5</v>
      </c>
      <c r="B2" s="1" t="s">
        <v>6</v>
      </c>
      <c r="C2" s="2">
        <v>8</v>
      </c>
      <c r="D2" s="9">
        <v>45000</v>
      </c>
      <c r="E2" s="4">
        <v>44664</v>
      </c>
      <c r="F2" s="10" t="str">
        <f t="shared" ref="F2:F31" si="0">VLOOKUP(D2,ddata,2,0)</f>
        <v>GRADE1</v>
      </c>
      <c r="J2" s="9">
        <v>45000</v>
      </c>
      <c r="K2" s="10" t="s">
        <v>57</v>
      </c>
    </row>
    <row r="3" spans="1:11" x14ac:dyDescent="0.3">
      <c r="A3" s="1" t="s">
        <v>7</v>
      </c>
      <c r="B3" s="1" t="s">
        <v>8</v>
      </c>
      <c r="C3" s="2">
        <v>9</v>
      </c>
      <c r="D3" s="9">
        <v>42000</v>
      </c>
      <c r="E3" s="4">
        <v>43904</v>
      </c>
      <c r="F3" s="10" t="str">
        <f t="shared" si="0"/>
        <v>GRADE2</v>
      </c>
      <c r="J3" s="9">
        <v>42000</v>
      </c>
      <c r="K3" s="10" t="s">
        <v>58</v>
      </c>
    </row>
    <row r="4" spans="1:11" x14ac:dyDescent="0.3">
      <c r="A4" s="1" t="s">
        <v>9</v>
      </c>
      <c r="B4" s="1" t="s">
        <v>10</v>
      </c>
      <c r="C4" s="2">
        <v>8</v>
      </c>
      <c r="D4" s="9">
        <v>55000</v>
      </c>
      <c r="E4" s="4">
        <v>45501</v>
      </c>
      <c r="F4" s="10" t="str">
        <f t="shared" si="0"/>
        <v>GRADE3</v>
      </c>
      <c r="J4" s="9">
        <v>55000</v>
      </c>
      <c r="K4" s="10" t="s">
        <v>59</v>
      </c>
    </row>
    <row r="5" spans="1:11" x14ac:dyDescent="0.3">
      <c r="A5" s="1" t="s">
        <v>11</v>
      </c>
      <c r="B5" s="1" t="s">
        <v>12</v>
      </c>
      <c r="C5" s="2">
        <v>7</v>
      </c>
      <c r="D5" s="9">
        <v>40000</v>
      </c>
      <c r="E5" s="4">
        <v>44399</v>
      </c>
      <c r="F5" s="10" t="str">
        <f t="shared" si="0"/>
        <v>GRADE4</v>
      </c>
      <c r="J5" s="9">
        <v>40000</v>
      </c>
      <c r="K5" s="10" t="s">
        <v>60</v>
      </c>
    </row>
    <row r="6" spans="1:11" x14ac:dyDescent="0.3">
      <c r="A6" s="1" t="s">
        <v>13</v>
      </c>
      <c r="B6" s="1" t="s">
        <v>14</v>
      </c>
      <c r="C6" s="2">
        <v>9</v>
      </c>
      <c r="D6" s="9">
        <v>65000</v>
      </c>
      <c r="E6" s="4">
        <v>45286</v>
      </c>
      <c r="F6" s="10" t="str">
        <f t="shared" si="0"/>
        <v>GRADE5</v>
      </c>
      <c r="J6" s="9">
        <v>65000</v>
      </c>
      <c r="K6" s="10" t="s">
        <v>61</v>
      </c>
    </row>
    <row r="7" spans="1:11" x14ac:dyDescent="0.3">
      <c r="A7" s="1" t="s">
        <v>15</v>
      </c>
      <c r="B7" s="1" t="s">
        <v>16</v>
      </c>
      <c r="C7" s="2">
        <v>8</v>
      </c>
      <c r="D7" s="9">
        <v>35000</v>
      </c>
      <c r="E7" s="4">
        <v>45332</v>
      </c>
      <c r="F7" s="10" t="str">
        <f t="shared" si="0"/>
        <v>GRADE6</v>
      </c>
      <c r="J7" s="9">
        <v>35000</v>
      </c>
      <c r="K7" s="10" t="s">
        <v>62</v>
      </c>
    </row>
    <row r="8" spans="1:11" x14ac:dyDescent="0.3">
      <c r="A8" s="1" t="s">
        <v>17</v>
      </c>
      <c r="B8" s="1" t="s">
        <v>18</v>
      </c>
      <c r="C8" s="2">
        <v>10</v>
      </c>
      <c r="D8" s="9">
        <v>50000</v>
      </c>
      <c r="E8" s="4">
        <v>45057</v>
      </c>
      <c r="F8" s="10" t="str">
        <f t="shared" si="0"/>
        <v>GRADE7</v>
      </c>
      <c r="J8" s="9">
        <v>50000</v>
      </c>
      <c r="K8" s="10" t="s">
        <v>63</v>
      </c>
    </row>
    <row r="9" spans="1:11" x14ac:dyDescent="0.3">
      <c r="A9" s="1" t="s">
        <v>19</v>
      </c>
      <c r="B9" s="1" t="s">
        <v>20</v>
      </c>
      <c r="C9" s="2">
        <v>9</v>
      </c>
      <c r="D9" s="9">
        <v>70000</v>
      </c>
      <c r="E9" s="4">
        <v>44063</v>
      </c>
      <c r="F9" s="10" t="str">
        <f t="shared" si="0"/>
        <v>GRADE8</v>
      </c>
      <c r="J9" s="9">
        <v>70000</v>
      </c>
      <c r="K9" s="10" t="s">
        <v>64</v>
      </c>
    </row>
    <row r="10" spans="1:11" x14ac:dyDescent="0.3">
      <c r="A10" s="1" t="s">
        <v>21</v>
      </c>
      <c r="B10" s="1" t="s">
        <v>22</v>
      </c>
      <c r="C10" s="2">
        <v>8</v>
      </c>
      <c r="D10" s="9">
        <v>42000</v>
      </c>
      <c r="E10" s="4">
        <v>44097</v>
      </c>
      <c r="F10" s="10" t="str">
        <f t="shared" si="0"/>
        <v>GRADE2</v>
      </c>
      <c r="J10" s="9">
        <v>38000</v>
      </c>
      <c r="K10" s="10" t="s">
        <v>65</v>
      </c>
    </row>
    <row r="11" spans="1:11" x14ac:dyDescent="0.3">
      <c r="A11" s="1" t="s">
        <v>23</v>
      </c>
      <c r="B11" s="1" t="s">
        <v>24</v>
      </c>
      <c r="C11" s="2">
        <v>7</v>
      </c>
      <c r="D11" s="9">
        <v>38000</v>
      </c>
      <c r="E11" s="4">
        <v>45157</v>
      </c>
      <c r="F11" s="10" t="str">
        <f t="shared" si="0"/>
        <v>GRADE9</v>
      </c>
      <c r="J11" s="9">
        <v>36000</v>
      </c>
      <c r="K11" s="10" t="s">
        <v>66</v>
      </c>
    </row>
    <row r="12" spans="1:11" x14ac:dyDescent="0.3">
      <c r="A12" s="1" t="s">
        <v>25</v>
      </c>
      <c r="B12" s="1" t="s">
        <v>26</v>
      </c>
      <c r="C12" s="2">
        <v>8</v>
      </c>
      <c r="D12" s="9">
        <v>39000</v>
      </c>
      <c r="E12" s="4">
        <v>44189</v>
      </c>
      <c r="F12" s="10" t="str">
        <f t="shared" si="0"/>
        <v>GRADE17</v>
      </c>
      <c r="J12" s="9">
        <v>60000</v>
      </c>
      <c r="K12" s="10" t="s">
        <v>67</v>
      </c>
    </row>
    <row r="13" spans="1:11" x14ac:dyDescent="0.3">
      <c r="A13" s="1" t="s">
        <v>27</v>
      </c>
      <c r="B13" s="1" t="s">
        <v>28</v>
      </c>
      <c r="C13" s="2">
        <v>9</v>
      </c>
      <c r="D13" s="9">
        <v>60000</v>
      </c>
      <c r="E13" s="4">
        <v>45489</v>
      </c>
      <c r="F13" s="10" t="str">
        <f t="shared" si="0"/>
        <v>GRADE11</v>
      </c>
      <c r="J13" s="9">
        <v>48000</v>
      </c>
      <c r="K13" s="10" t="s">
        <v>68</v>
      </c>
    </row>
    <row r="14" spans="1:11" x14ac:dyDescent="0.3">
      <c r="A14" s="1" t="s">
        <v>29</v>
      </c>
      <c r="B14" s="1" t="s">
        <v>30</v>
      </c>
      <c r="C14" s="2">
        <v>8</v>
      </c>
      <c r="D14" s="9">
        <v>48000</v>
      </c>
      <c r="E14" s="4">
        <v>45296</v>
      </c>
      <c r="F14" s="10" t="str">
        <f t="shared" si="0"/>
        <v>GRADE12</v>
      </c>
      <c r="J14" s="9">
        <v>62000</v>
      </c>
      <c r="K14" s="10" t="s">
        <v>69</v>
      </c>
    </row>
    <row r="15" spans="1:11" x14ac:dyDescent="0.3">
      <c r="A15" s="1" t="s">
        <v>31</v>
      </c>
      <c r="B15" s="1" t="s">
        <v>32</v>
      </c>
      <c r="C15" s="2">
        <v>9</v>
      </c>
      <c r="D15" s="9">
        <v>62000</v>
      </c>
      <c r="E15" s="4">
        <v>45024</v>
      </c>
      <c r="F15" s="10" t="str">
        <f t="shared" si="0"/>
        <v>GRADE13</v>
      </c>
      <c r="J15" s="9">
        <v>58000</v>
      </c>
      <c r="K15" s="10" t="s">
        <v>70</v>
      </c>
    </row>
    <row r="16" spans="1:11" x14ac:dyDescent="0.3">
      <c r="A16" s="1" t="s">
        <v>33</v>
      </c>
      <c r="B16" s="1" t="s">
        <v>34</v>
      </c>
      <c r="C16" s="2">
        <v>10</v>
      </c>
      <c r="D16" s="9">
        <v>58000</v>
      </c>
      <c r="E16" s="4">
        <v>44411</v>
      </c>
      <c r="F16" s="10" t="str">
        <f t="shared" si="0"/>
        <v>GRADE14</v>
      </c>
      <c r="J16" s="9">
        <v>41000</v>
      </c>
      <c r="K16" s="10" t="s">
        <v>71</v>
      </c>
    </row>
    <row r="17" spans="1:11" x14ac:dyDescent="0.3">
      <c r="A17" s="1" t="s">
        <v>35</v>
      </c>
      <c r="B17" s="1" t="s">
        <v>36</v>
      </c>
      <c r="C17" s="2">
        <v>8</v>
      </c>
      <c r="D17" s="9">
        <v>41000</v>
      </c>
      <c r="E17" s="4">
        <v>45087</v>
      </c>
      <c r="F17" s="10" t="str">
        <f t="shared" si="0"/>
        <v>GRADE15</v>
      </c>
      <c r="J17" s="9">
        <v>67000</v>
      </c>
      <c r="K17" s="10" t="s">
        <v>72</v>
      </c>
    </row>
    <row r="18" spans="1:11" x14ac:dyDescent="0.3">
      <c r="A18" s="1" t="s">
        <v>37</v>
      </c>
      <c r="B18" s="1" t="s">
        <v>38</v>
      </c>
      <c r="C18" s="2">
        <v>9</v>
      </c>
      <c r="D18" s="9">
        <v>67000</v>
      </c>
      <c r="E18" s="4">
        <v>44852</v>
      </c>
      <c r="F18" s="10" t="str">
        <f t="shared" si="0"/>
        <v>GRADE16</v>
      </c>
      <c r="J18" s="9">
        <v>39000</v>
      </c>
      <c r="K18" s="10" t="s">
        <v>73</v>
      </c>
    </row>
    <row r="19" spans="1:11" x14ac:dyDescent="0.3">
      <c r="A19" s="1" t="s">
        <v>39</v>
      </c>
      <c r="B19" s="1" t="s">
        <v>40</v>
      </c>
      <c r="C19" s="2">
        <v>7</v>
      </c>
      <c r="D19" s="9">
        <v>39000</v>
      </c>
      <c r="E19" s="4">
        <v>45231</v>
      </c>
      <c r="F19" s="10" t="str">
        <f t="shared" si="0"/>
        <v>GRADE17</v>
      </c>
      <c r="J19" s="9">
        <v>52000</v>
      </c>
      <c r="K19" s="10" t="s">
        <v>74</v>
      </c>
    </row>
    <row r="20" spans="1:11" x14ac:dyDescent="0.3">
      <c r="A20" s="1" t="s">
        <v>41</v>
      </c>
      <c r="B20" s="1" t="s">
        <v>42</v>
      </c>
      <c r="C20" s="2">
        <v>8</v>
      </c>
      <c r="D20" s="9">
        <v>52000</v>
      </c>
      <c r="E20" s="4">
        <v>45486</v>
      </c>
      <c r="F20" s="10" t="str">
        <f t="shared" si="0"/>
        <v>GRADE18</v>
      </c>
      <c r="J20" s="9">
        <v>61000</v>
      </c>
      <c r="K20" s="10" t="s">
        <v>75</v>
      </c>
    </row>
    <row r="21" spans="1:11" x14ac:dyDescent="0.3">
      <c r="A21" s="1" t="s">
        <v>43</v>
      </c>
      <c r="B21" s="1" t="s">
        <v>44</v>
      </c>
      <c r="C21" s="2">
        <v>9</v>
      </c>
      <c r="D21" s="9">
        <v>61000</v>
      </c>
      <c r="E21" s="4">
        <v>44335</v>
      </c>
      <c r="F21" s="10" t="str">
        <f t="shared" si="0"/>
        <v>GRADE19</v>
      </c>
      <c r="J21" s="9">
        <v>47000</v>
      </c>
      <c r="K21" s="10" t="s">
        <v>76</v>
      </c>
    </row>
    <row r="22" spans="1:11" x14ac:dyDescent="0.3">
      <c r="A22" s="1" t="s">
        <v>45</v>
      </c>
      <c r="B22" s="1" t="s">
        <v>6</v>
      </c>
      <c r="C22" s="2">
        <v>10</v>
      </c>
      <c r="D22" s="9">
        <v>47000</v>
      </c>
      <c r="E22" s="4">
        <v>44338</v>
      </c>
      <c r="F22" s="10" t="str">
        <f t="shared" si="0"/>
        <v>GRADE20</v>
      </c>
      <c r="J22" s="9">
        <v>43000</v>
      </c>
      <c r="K22" s="10" t="s">
        <v>77</v>
      </c>
    </row>
    <row r="23" spans="1:11" x14ac:dyDescent="0.3">
      <c r="A23" s="1" t="s">
        <v>46</v>
      </c>
      <c r="B23" s="1" t="s">
        <v>8</v>
      </c>
      <c r="C23" s="2">
        <v>8</v>
      </c>
      <c r="D23" s="9">
        <v>43000</v>
      </c>
      <c r="E23" s="4">
        <v>44781</v>
      </c>
      <c r="F23" s="10" t="str">
        <f t="shared" si="0"/>
        <v>GRADE21</v>
      </c>
      <c r="J23" s="9">
        <v>56000</v>
      </c>
      <c r="K23" s="10" t="s">
        <v>78</v>
      </c>
    </row>
    <row r="24" spans="1:11" x14ac:dyDescent="0.3">
      <c r="A24" s="1" t="s">
        <v>47</v>
      </c>
      <c r="B24" s="1" t="s">
        <v>10</v>
      </c>
      <c r="C24" s="2">
        <v>9</v>
      </c>
      <c r="D24" s="9">
        <v>56000</v>
      </c>
      <c r="E24" s="4">
        <v>45517</v>
      </c>
      <c r="F24" s="10" t="str">
        <f t="shared" si="0"/>
        <v>GRADE22</v>
      </c>
      <c r="J24" s="9">
        <v>68000</v>
      </c>
      <c r="K24" s="10" t="s">
        <v>79</v>
      </c>
    </row>
    <row r="25" spans="1:11" x14ac:dyDescent="0.3">
      <c r="A25" s="1" t="s">
        <v>48</v>
      </c>
      <c r="B25" s="1" t="s">
        <v>12</v>
      </c>
      <c r="C25" s="2">
        <v>8</v>
      </c>
      <c r="D25" s="9">
        <v>41000</v>
      </c>
      <c r="E25" s="4">
        <v>44285</v>
      </c>
      <c r="F25" s="10" t="str">
        <f t="shared" si="0"/>
        <v>GRADE15</v>
      </c>
      <c r="J25" s="9">
        <v>34000</v>
      </c>
      <c r="K25" s="10" t="s">
        <v>80</v>
      </c>
    </row>
    <row r="26" spans="1:11" x14ac:dyDescent="0.3">
      <c r="A26" s="1" t="s">
        <v>49</v>
      </c>
      <c r="B26" s="1" t="s">
        <v>14</v>
      </c>
      <c r="C26" s="2">
        <v>10</v>
      </c>
      <c r="D26" s="9">
        <v>68000</v>
      </c>
      <c r="E26" s="4">
        <v>43916</v>
      </c>
      <c r="F26" s="10" t="str">
        <f t="shared" si="0"/>
        <v>GRADE23</v>
      </c>
      <c r="J26" s="9">
        <v>51000</v>
      </c>
      <c r="K26" s="10" t="s">
        <v>81</v>
      </c>
    </row>
    <row r="27" spans="1:11" x14ac:dyDescent="0.3">
      <c r="A27" s="1" t="s">
        <v>50</v>
      </c>
      <c r="B27" s="1" t="s">
        <v>16</v>
      </c>
      <c r="C27" s="2">
        <v>7</v>
      </c>
      <c r="D27" s="9">
        <v>34000</v>
      </c>
      <c r="E27" s="4">
        <v>44361</v>
      </c>
      <c r="F27" s="10" t="str">
        <f t="shared" si="0"/>
        <v>GRADE24</v>
      </c>
      <c r="J27" s="9">
        <v>72000</v>
      </c>
      <c r="K27" s="10" t="s">
        <v>82</v>
      </c>
    </row>
    <row r="28" spans="1:11" x14ac:dyDescent="0.3">
      <c r="A28" s="1" t="s">
        <v>51</v>
      </c>
      <c r="B28" s="1" t="s">
        <v>18</v>
      </c>
      <c r="C28" s="2">
        <v>9</v>
      </c>
      <c r="D28" s="9">
        <v>51000</v>
      </c>
      <c r="E28" s="4">
        <v>45571</v>
      </c>
      <c r="F28" s="10" t="str">
        <f t="shared" si="0"/>
        <v>GRADE25</v>
      </c>
    </row>
    <row r="29" spans="1:11" x14ac:dyDescent="0.3">
      <c r="A29" s="1" t="s">
        <v>52</v>
      </c>
      <c r="B29" s="1" t="s">
        <v>20</v>
      </c>
      <c r="C29" s="2">
        <v>8</v>
      </c>
      <c r="D29" s="9">
        <v>72000</v>
      </c>
      <c r="E29" s="4">
        <v>44616</v>
      </c>
      <c r="F29" s="10" t="str">
        <f t="shared" si="0"/>
        <v>GRADE26</v>
      </c>
    </row>
    <row r="30" spans="1:11" x14ac:dyDescent="0.3">
      <c r="A30" s="1" t="s">
        <v>53</v>
      </c>
      <c r="B30" s="1" t="s">
        <v>22</v>
      </c>
      <c r="C30" s="2">
        <v>8</v>
      </c>
      <c r="D30" s="9">
        <v>43000</v>
      </c>
      <c r="E30" s="4">
        <v>45021</v>
      </c>
      <c r="F30" s="10" t="str">
        <f t="shared" si="0"/>
        <v>GRADE21</v>
      </c>
    </row>
    <row r="31" spans="1:11" x14ac:dyDescent="0.3">
      <c r="A31" s="1" t="s">
        <v>54</v>
      </c>
      <c r="B31" s="1" t="s">
        <v>24</v>
      </c>
      <c r="C31" s="2">
        <v>9</v>
      </c>
      <c r="D31" s="9">
        <v>39000</v>
      </c>
      <c r="E31" s="4">
        <v>44829</v>
      </c>
      <c r="F31" s="10" t="str">
        <f t="shared" si="0"/>
        <v>GRADE17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38CE-94EA-4EB5-9523-5F92F4B26919}">
  <dimension ref="A1:O31"/>
  <sheetViews>
    <sheetView tabSelected="1" workbookViewId="0">
      <selection activeCell="J1" sqref="J1:O1"/>
    </sheetView>
  </sheetViews>
  <sheetFormatPr defaultRowHeight="14.4" x14ac:dyDescent="0.3"/>
  <cols>
    <col min="1" max="1" width="15.77734375" customWidth="1"/>
    <col min="2" max="2" width="24.33203125" bestFit="1" customWidth="1"/>
    <col min="3" max="3" width="15.77734375" customWidth="1"/>
    <col min="4" max="4" width="15.77734375" style="16" customWidth="1"/>
    <col min="5" max="6" width="15.77734375" customWidth="1"/>
    <col min="7" max="7" width="15.77734375" style="16" customWidth="1"/>
    <col min="8" max="8" width="15.77734375" customWidth="1"/>
  </cols>
  <sheetData>
    <row r="1" spans="1:15" x14ac:dyDescent="0.3">
      <c r="A1" s="11" t="s">
        <v>0</v>
      </c>
      <c r="B1" s="11" t="s">
        <v>1</v>
      </c>
      <c r="C1" s="11" t="s">
        <v>2</v>
      </c>
      <c r="D1" s="15" t="s">
        <v>3</v>
      </c>
      <c r="E1" s="11" t="s">
        <v>4</v>
      </c>
      <c r="F1" s="11" t="s">
        <v>55</v>
      </c>
      <c r="G1" s="17" t="s">
        <v>83</v>
      </c>
      <c r="H1" s="13" t="s">
        <v>84</v>
      </c>
      <c r="J1" s="18" t="s">
        <v>85</v>
      </c>
      <c r="K1" s="18"/>
      <c r="L1" s="18"/>
      <c r="M1" s="18"/>
      <c r="N1" s="18"/>
      <c r="O1" s="18"/>
    </row>
    <row r="2" spans="1:15" x14ac:dyDescent="0.3">
      <c r="A2" s="1" t="s">
        <v>5</v>
      </c>
      <c r="B2" s="1" t="s">
        <v>6</v>
      </c>
      <c r="C2" s="2">
        <v>8</v>
      </c>
      <c r="D2" s="3">
        <v>34000</v>
      </c>
      <c r="E2" s="4">
        <v>44664</v>
      </c>
      <c r="F2" s="10" t="str">
        <f t="shared" ref="F2:F31" si="0">VLOOKUP(D2,ddata,2,0)</f>
        <v>GRADE24</v>
      </c>
      <c r="G2" s="14" cm="1">
        <f t="array" ref="G2">_xlfn.IFS(
D2&lt;34000,0,
D2&lt;40000,D2*5%,
D2&lt;45000,D2*10%,
D2&lt;50000,D2*15%,
D2&lt;55000,D2*20%,
D2&lt;60000,D2*25%,
D2&lt;70000,D2*30%,D2&gt;70000,D2*32%
)</f>
        <v>1700</v>
      </c>
      <c r="H2" s="14">
        <f>SUM(D2,G2)</f>
        <v>35700</v>
      </c>
    </row>
    <row r="3" spans="1:15" x14ac:dyDescent="0.3">
      <c r="A3" s="1" t="s">
        <v>7</v>
      </c>
      <c r="B3" s="1" t="s">
        <v>8</v>
      </c>
      <c r="C3" s="2">
        <v>9</v>
      </c>
      <c r="D3" s="3">
        <v>35000</v>
      </c>
      <c r="E3" s="4">
        <v>43904</v>
      </c>
      <c r="F3" s="10" t="str">
        <f t="shared" si="0"/>
        <v>GRADE6</v>
      </c>
      <c r="G3" s="14" cm="1">
        <f t="array" ref="G3">_xlfn.IFS(
D3&lt;34000,0,
D3&lt;40000,D3*5%,
D3&lt;45000,D3*10%,
D3&lt;50000,D3*15%,
D3&lt;55000,D3*20%,
D3&lt;60000,D3*25%,
D3&lt;70000,D3*30%,D3&gt;70000,D3*32%
)</f>
        <v>1750</v>
      </c>
      <c r="H3" s="14">
        <f t="shared" ref="H3:H31" si="1">SUM(D3,G3)</f>
        <v>36750</v>
      </c>
    </row>
    <row r="4" spans="1:15" x14ac:dyDescent="0.3">
      <c r="A4" s="1" t="s">
        <v>9</v>
      </c>
      <c r="B4" s="1" t="s">
        <v>10</v>
      </c>
      <c r="C4" s="2">
        <v>8</v>
      </c>
      <c r="D4" s="3">
        <v>38000</v>
      </c>
      <c r="E4" s="4">
        <v>45501</v>
      </c>
      <c r="F4" s="10" t="str">
        <f t="shared" si="0"/>
        <v>GRADE9</v>
      </c>
      <c r="G4" s="14" cm="1">
        <f t="array" ref="G4">_xlfn.IFS(
D4&lt;34000,0,
D4&lt;40000,D4*5%,
D4&lt;45000,D4*10%,
D4&lt;50000,D4*15%,
D4&lt;55000,D4*20%,
D4&lt;60000,D4*25%,
D4&lt;70000,D4*30%,D4&gt;70000,D4*32%
)</f>
        <v>1900</v>
      </c>
      <c r="H4" s="14">
        <f t="shared" si="1"/>
        <v>39900</v>
      </c>
    </row>
    <row r="5" spans="1:15" x14ac:dyDescent="0.3">
      <c r="A5" s="1" t="s">
        <v>11</v>
      </c>
      <c r="B5" s="1" t="s">
        <v>12</v>
      </c>
      <c r="C5" s="2">
        <v>7</v>
      </c>
      <c r="D5" s="3">
        <v>39000</v>
      </c>
      <c r="E5" s="4">
        <v>44399</v>
      </c>
      <c r="F5" s="10" t="str">
        <f t="shared" si="0"/>
        <v>GRADE17</v>
      </c>
      <c r="G5" s="14" cm="1">
        <f t="array" ref="G5">_xlfn.IFS(
D5&lt;34000,0,
D5&lt;40000,D5*5%,
D5&lt;45000,D5*10%,
D5&lt;50000,D5*15%,
D5&lt;55000,D5*20%,
D5&lt;60000,D5*25%,
D5&lt;70000,D5*30%,D5&gt;70000,D5*32%
)</f>
        <v>1950</v>
      </c>
      <c r="H5" s="14">
        <f t="shared" si="1"/>
        <v>40950</v>
      </c>
    </row>
    <row r="6" spans="1:15" x14ac:dyDescent="0.3">
      <c r="A6" s="1" t="s">
        <v>13</v>
      </c>
      <c r="B6" s="1" t="s">
        <v>14</v>
      </c>
      <c r="C6" s="2">
        <v>9</v>
      </c>
      <c r="D6" s="3">
        <v>39000</v>
      </c>
      <c r="E6" s="4">
        <v>45286</v>
      </c>
      <c r="F6" s="10" t="str">
        <f t="shared" si="0"/>
        <v>GRADE17</v>
      </c>
      <c r="G6" s="14" cm="1">
        <f t="array" ref="G6">_xlfn.IFS(
D6&lt;34000,0,
D6&lt;40000,D6*5%,
D6&lt;45000,D6*10%,
D6&lt;50000,D6*15%,
D6&lt;55000,D6*20%,
D6&lt;60000,D6*25%,
D6&lt;70000,D6*30%,D6&gt;70000,D6*32%
)</f>
        <v>1950</v>
      </c>
      <c r="H6" s="14">
        <f t="shared" si="1"/>
        <v>40950</v>
      </c>
    </row>
    <row r="7" spans="1:15" x14ac:dyDescent="0.3">
      <c r="A7" s="1" t="s">
        <v>15</v>
      </c>
      <c r="B7" s="1" t="s">
        <v>16</v>
      </c>
      <c r="C7" s="2">
        <v>8</v>
      </c>
      <c r="D7" s="3">
        <v>39000</v>
      </c>
      <c r="E7" s="4">
        <v>45332</v>
      </c>
      <c r="F7" s="10" t="str">
        <f t="shared" si="0"/>
        <v>GRADE17</v>
      </c>
      <c r="G7" s="14" cm="1">
        <f t="array" ref="G7">_xlfn.IFS(
D7&lt;34000,0,
D7&lt;40000,D7*5%,
D7&lt;45000,D7*10%,
D7&lt;50000,D7*15%,
D7&lt;55000,D7*20%,
D7&lt;60000,D7*25%,
D7&lt;70000,D7*30%,D7&gt;70000,D7*32%
)</f>
        <v>1950</v>
      </c>
      <c r="H7" s="14">
        <f t="shared" si="1"/>
        <v>40950</v>
      </c>
    </row>
    <row r="8" spans="1:15" x14ac:dyDescent="0.3">
      <c r="A8" s="1" t="s">
        <v>17</v>
      </c>
      <c r="B8" s="1" t="s">
        <v>18</v>
      </c>
      <c r="C8" s="2">
        <v>10</v>
      </c>
      <c r="D8" s="3">
        <v>40000</v>
      </c>
      <c r="E8" s="4">
        <v>45057</v>
      </c>
      <c r="F8" s="10" t="str">
        <f t="shared" si="0"/>
        <v>GRADE4</v>
      </c>
      <c r="G8" s="14" cm="1">
        <f t="array" ref="G8">_xlfn.IFS(
D8&lt;34000,0,
D8&lt;40000,D8*5%,
D8&lt;45000,D8*10%,
D8&lt;50000,D8*15%,
D8&lt;55000,D8*20%,
D8&lt;60000,D8*25%,
D8&lt;70000,D8*30%,D8&gt;70000,D8*32%
)</f>
        <v>4000</v>
      </c>
      <c r="H8" s="14">
        <f t="shared" si="1"/>
        <v>44000</v>
      </c>
    </row>
    <row r="9" spans="1:15" x14ac:dyDescent="0.3">
      <c r="A9" s="1" t="s">
        <v>19</v>
      </c>
      <c r="B9" s="1" t="s">
        <v>20</v>
      </c>
      <c r="C9" s="2">
        <v>9</v>
      </c>
      <c r="D9" s="3">
        <v>41000</v>
      </c>
      <c r="E9" s="4">
        <v>44063</v>
      </c>
      <c r="F9" s="10" t="str">
        <f t="shared" si="0"/>
        <v>GRADE15</v>
      </c>
      <c r="G9" s="14" cm="1">
        <f t="array" ref="G9">_xlfn.IFS(
D9&lt;34000,0,
D9&lt;40000,D9*5%,
D9&lt;45000,D9*10%,
D9&lt;50000,D9*15%,
D9&lt;55000,D9*20%,
D9&lt;60000,D9*25%,
D9&lt;70000,D9*30%,D9&gt;70000,D9*32%
)</f>
        <v>4100</v>
      </c>
      <c r="H9" s="14">
        <f t="shared" si="1"/>
        <v>45100</v>
      </c>
    </row>
    <row r="10" spans="1:15" x14ac:dyDescent="0.3">
      <c r="A10" s="1" t="s">
        <v>21</v>
      </c>
      <c r="B10" s="1" t="s">
        <v>22</v>
      </c>
      <c r="C10" s="2">
        <v>8</v>
      </c>
      <c r="D10" s="3">
        <v>41000</v>
      </c>
      <c r="E10" s="4">
        <v>44097</v>
      </c>
      <c r="F10" s="10" t="str">
        <f t="shared" si="0"/>
        <v>GRADE15</v>
      </c>
      <c r="G10" s="14" cm="1">
        <f t="array" ref="G10">_xlfn.IFS(
D10&lt;34000,0,
D10&lt;40000,D10*5%,
D10&lt;45000,D10*10%,
D10&lt;50000,D10*15%,
D10&lt;55000,D10*20%,
D10&lt;60000,D10*25%,
D10&lt;70000,D10*30%,D10&gt;70000,D10*32%
)</f>
        <v>4100</v>
      </c>
      <c r="H10" s="14">
        <f t="shared" si="1"/>
        <v>45100</v>
      </c>
    </row>
    <row r="11" spans="1:15" x14ac:dyDescent="0.3">
      <c r="A11" s="1" t="s">
        <v>23</v>
      </c>
      <c r="B11" s="1" t="s">
        <v>24</v>
      </c>
      <c r="C11" s="2">
        <v>7</v>
      </c>
      <c r="D11" s="3">
        <v>42000</v>
      </c>
      <c r="E11" s="4">
        <v>45157</v>
      </c>
      <c r="F11" s="10" t="str">
        <f t="shared" si="0"/>
        <v>GRADE2</v>
      </c>
      <c r="G11" s="14" cm="1">
        <f t="array" ref="G11">_xlfn.IFS(
D11&lt;34000,0,
D11&lt;40000,D11*5%,
D11&lt;45000,D11*10%,
D11&lt;50000,D11*15%,
D11&lt;55000,D11*20%,
D11&lt;60000,D11*25%,
D11&lt;70000,D11*30%,D11&gt;70000,D11*32%
)</f>
        <v>4200</v>
      </c>
      <c r="H11" s="14">
        <f t="shared" si="1"/>
        <v>46200</v>
      </c>
    </row>
    <row r="12" spans="1:15" x14ac:dyDescent="0.3">
      <c r="A12" s="1" t="s">
        <v>25</v>
      </c>
      <c r="B12" s="1" t="s">
        <v>26</v>
      </c>
      <c r="C12" s="2">
        <v>8</v>
      </c>
      <c r="D12" s="3">
        <v>42000</v>
      </c>
      <c r="E12" s="4">
        <v>44189</v>
      </c>
      <c r="F12" s="10" t="str">
        <f t="shared" si="0"/>
        <v>GRADE2</v>
      </c>
      <c r="G12" s="14" cm="1">
        <f t="array" ref="G12">_xlfn.IFS(
D12&lt;34000,0,
D12&lt;40000,D12*5%,
D12&lt;45000,D12*10%,
D12&lt;50000,D12*15%,
D12&lt;55000,D12*20%,
D12&lt;60000,D12*25%,
D12&lt;70000,D12*30%,D12&gt;70000,D12*32%
)</f>
        <v>4200</v>
      </c>
      <c r="H12" s="14">
        <f t="shared" si="1"/>
        <v>46200</v>
      </c>
    </row>
    <row r="13" spans="1:15" x14ac:dyDescent="0.3">
      <c r="A13" s="1" t="s">
        <v>27</v>
      </c>
      <c r="B13" s="1" t="s">
        <v>28</v>
      </c>
      <c r="C13" s="2">
        <v>9</v>
      </c>
      <c r="D13" s="3">
        <v>43000</v>
      </c>
      <c r="E13" s="4">
        <v>45489</v>
      </c>
      <c r="F13" s="10" t="str">
        <f t="shared" si="0"/>
        <v>GRADE21</v>
      </c>
      <c r="G13" s="14" cm="1">
        <f t="array" ref="G13">_xlfn.IFS(
D13&lt;34000,0,
D13&lt;40000,D13*5%,
D13&lt;45000,D13*10%,
D13&lt;50000,D13*15%,
D13&lt;55000,D13*20%,
D13&lt;60000,D13*25%,
D13&lt;70000,D13*30%,D13&gt;70000,D13*32%
)</f>
        <v>4300</v>
      </c>
      <c r="H13" s="14">
        <f t="shared" si="1"/>
        <v>47300</v>
      </c>
    </row>
    <row r="14" spans="1:15" x14ac:dyDescent="0.3">
      <c r="A14" s="1" t="s">
        <v>29</v>
      </c>
      <c r="B14" s="1" t="s">
        <v>30</v>
      </c>
      <c r="C14" s="2">
        <v>8</v>
      </c>
      <c r="D14" s="3">
        <v>43000</v>
      </c>
      <c r="E14" s="4">
        <v>45296</v>
      </c>
      <c r="F14" s="10" t="str">
        <f t="shared" si="0"/>
        <v>GRADE21</v>
      </c>
      <c r="G14" s="14" cm="1">
        <f t="array" ref="G14">_xlfn.IFS(
D14&lt;34000,0,
D14&lt;40000,D14*5%,
D14&lt;45000,D14*10%,
D14&lt;50000,D14*15%,
D14&lt;55000,D14*20%,
D14&lt;60000,D14*25%,
D14&lt;70000,D14*30%,D14&gt;70000,D14*32%
)</f>
        <v>4300</v>
      </c>
      <c r="H14" s="14">
        <f t="shared" si="1"/>
        <v>47300</v>
      </c>
    </row>
    <row r="15" spans="1:15" x14ac:dyDescent="0.3">
      <c r="A15" s="1" t="s">
        <v>31</v>
      </c>
      <c r="B15" s="1" t="s">
        <v>32</v>
      </c>
      <c r="C15" s="2">
        <v>9</v>
      </c>
      <c r="D15" s="3">
        <v>45000</v>
      </c>
      <c r="E15" s="4">
        <v>45024</v>
      </c>
      <c r="F15" s="10" t="str">
        <f t="shared" si="0"/>
        <v>GRADE1</v>
      </c>
      <c r="G15" s="14" cm="1">
        <f t="array" ref="G15">_xlfn.IFS(
D15&lt;34000,0,
D15&lt;40000,D15*5%,
D15&lt;45000,D15*10%,
D15&lt;50000,D15*15%,
D15&lt;55000,D15*20%,
D15&lt;60000,D15*25%,
D15&lt;70000,D15*30%,D15&gt;70000,D15*32%
)</f>
        <v>6750</v>
      </c>
      <c r="H15" s="14">
        <f t="shared" si="1"/>
        <v>51750</v>
      </c>
    </row>
    <row r="16" spans="1:15" x14ac:dyDescent="0.3">
      <c r="A16" s="1" t="s">
        <v>33</v>
      </c>
      <c r="B16" s="1" t="s">
        <v>34</v>
      </c>
      <c r="C16" s="2">
        <v>10</v>
      </c>
      <c r="D16" s="3">
        <v>47000</v>
      </c>
      <c r="E16" s="4">
        <v>44411</v>
      </c>
      <c r="F16" s="10" t="str">
        <f t="shared" si="0"/>
        <v>GRADE20</v>
      </c>
      <c r="G16" s="14" cm="1">
        <f t="array" ref="G16">_xlfn.IFS(
D16&lt;34000,0,
D16&lt;40000,D16*5%,
D16&lt;45000,D16*10%,
D16&lt;50000,D16*15%,
D16&lt;55000,D16*20%,
D16&lt;60000,D16*25%,
D16&lt;70000,D16*30%,D16&gt;70000,D16*32%
)</f>
        <v>7050</v>
      </c>
      <c r="H16" s="14">
        <f t="shared" si="1"/>
        <v>54050</v>
      </c>
    </row>
    <row r="17" spans="1:8" x14ac:dyDescent="0.3">
      <c r="A17" s="1" t="s">
        <v>35</v>
      </c>
      <c r="B17" s="1" t="s">
        <v>36</v>
      </c>
      <c r="C17" s="2">
        <v>8</v>
      </c>
      <c r="D17" s="3">
        <v>48000</v>
      </c>
      <c r="E17" s="4">
        <v>45087</v>
      </c>
      <c r="F17" s="10" t="str">
        <f t="shared" si="0"/>
        <v>GRADE12</v>
      </c>
      <c r="G17" s="14" cm="1">
        <f t="array" ref="G17">_xlfn.IFS(
D17&lt;34000,0,
D17&lt;40000,D17*5%,
D17&lt;45000,D17*10%,
D17&lt;50000,D17*15%,
D17&lt;55000,D17*20%,
D17&lt;60000,D17*25%,
D17&lt;70000,D17*30%,D17&gt;70000,D17*32%
)</f>
        <v>7200</v>
      </c>
      <c r="H17" s="14">
        <f t="shared" si="1"/>
        <v>55200</v>
      </c>
    </row>
    <row r="18" spans="1:8" x14ac:dyDescent="0.3">
      <c r="A18" s="1" t="s">
        <v>37</v>
      </c>
      <c r="B18" s="1" t="s">
        <v>38</v>
      </c>
      <c r="C18" s="2">
        <v>9</v>
      </c>
      <c r="D18" s="3">
        <v>50000</v>
      </c>
      <c r="E18" s="4">
        <v>44852</v>
      </c>
      <c r="F18" s="10" t="str">
        <f t="shared" si="0"/>
        <v>GRADE7</v>
      </c>
      <c r="G18" s="14" cm="1">
        <f t="array" ref="G18">_xlfn.IFS(
D18&lt;34000,0,
D18&lt;40000,D18*5%,
D18&lt;45000,D18*10%,
D18&lt;50000,D18*15%,
D18&lt;55000,D18*20%,
D18&lt;60000,D18*25%,
D18&lt;70000,D18*30%,D18&gt;70000,D18*32%
)</f>
        <v>10000</v>
      </c>
      <c r="H18" s="14">
        <f t="shared" si="1"/>
        <v>60000</v>
      </c>
    </row>
    <row r="19" spans="1:8" x14ac:dyDescent="0.3">
      <c r="A19" s="1" t="s">
        <v>39</v>
      </c>
      <c r="B19" s="1" t="s">
        <v>40</v>
      </c>
      <c r="C19" s="2">
        <v>7</v>
      </c>
      <c r="D19" s="3">
        <v>51000</v>
      </c>
      <c r="E19" s="4">
        <v>45231</v>
      </c>
      <c r="F19" s="10" t="str">
        <f t="shared" si="0"/>
        <v>GRADE25</v>
      </c>
      <c r="G19" s="14" cm="1">
        <f t="array" ref="G19">_xlfn.IFS(
D19&lt;34000,0,
D19&lt;40000,D19*5%,
D19&lt;45000,D19*10%,
D19&lt;50000,D19*15%,
D19&lt;55000,D19*20%,
D19&lt;60000,D19*25%,
D19&lt;70000,D19*30%,D19&gt;70000,D19*32%
)</f>
        <v>10200</v>
      </c>
      <c r="H19" s="14">
        <f t="shared" si="1"/>
        <v>61200</v>
      </c>
    </row>
    <row r="20" spans="1:8" x14ac:dyDescent="0.3">
      <c r="A20" s="1" t="s">
        <v>41</v>
      </c>
      <c r="B20" s="1" t="s">
        <v>42</v>
      </c>
      <c r="C20" s="2">
        <v>8</v>
      </c>
      <c r="D20" s="3">
        <v>52000</v>
      </c>
      <c r="E20" s="4">
        <v>45486</v>
      </c>
      <c r="F20" s="10" t="str">
        <f t="shared" si="0"/>
        <v>GRADE18</v>
      </c>
      <c r="G20" s="14" cm="1">
        <f t="array" ref="G20">_xlfn.IFS(
D20&lt;34000,0,
D20&lt;40000,D20*5%,
D20&lt;45000,D20*10%,
D20&lt;50000,D20*15%,
D20&lt;55000,D20*20%,
D20&lt;60000,D20*25%,
D20&lt;70000,D20*30%,D20&gt;70000,D20*32%
)</f>
        <v>10400</v>
      </c>
      <c r="H20" s="14">
        <f t="shared" si="1"/>
        <v>62400</v>
      </c>
    </row>
    <row r="21" spans="1:8" x14ac:dyDescent="0.3">
      <c r="A21" s="1" t="s">
        <v>43</v>
      </c>
      <c r="B21" s="1" t="s">
        <v>44</v>
      </c>
      <c r="C21" s="2">
        <v>9</v>
      </c>
      <c r="D21" s="3">
        <v>55000</v>
      </c>
      <c r="E21" s="4">
        <v>44335</v>
      </c>
      <c r="F21" s="10" t="str">
        <f t="shared" si="0"/>
        <v>GRADE3</v>
      </c>
      <c r="G21" s="14" cm="1">
        <f t="array" ref="G21">_xlfn.IFS(
D21&lt;34000,0,
D21&lt;40000,D21*5%,
D21&lt;45000,D21*10%,
D21&lt;50000,D21*15%,
D21&lt;55000,D21*20%,
D21&lt;60000,D21*25%,
D21&lt;70000,D21*30%,D21&gt;70000,D21*32%
)</f>
        <v>13750</v>
      </c>
      <c r="H21" s="14">
        <f t="shared" si="1"/>
        <v>68750</v>
      </c>
    </row>
    <row r="22" spans="1:8" x14ac:dyDescent="0.3">
      <c r="A22" s="1" t="s">
        <v>45</v>
      </c>
      <c r="B22" s="1" t="s">
        <v>6</v>
      </c>
      <c r="C22" s="2">
        <v>10</v>
      </c>
      <c r="D22" s="3">
        <v>56000</v>
      </c>
      <c r="E22" s="4">
        <v>44338</v>
      </c>
      <c r="F22" s="10" t="str">
        <f t="shared" si="0"/>
        <v>GRADE22</v>
      </c>
      <c r="G22" s="14" cm="1">
        <f t="array" ref="G22">_xlfn.IFS(
D22&lt;34000,0,
D22&lt;40000,D22*5%,
D22&lt;45000,D22*10%,
D22&lt;50000,D22*15%,
D22&lt;55000,D22*20%,
D22&lt;60000,D22*25%,
D22&lt;70000,D22*30%,D22&gt;70000,D22*32%
)</f>
        <v>14000</v>
      </c>
      <c r="H22" s="14">
        <f t="shared" si="1"/>
        <v>70000</v>
      </c>
    </row>
    <row r="23" spans="1:8" x14ac:dyDescent="0.3">
      <c r="A23" s="1" t="s">
        <v>46</v>
      </c>
      <c r="B23" s="1" t="s">
        <v>8</v>
      </c>
      <c r="C23" s="2">
        <v>8</v>
      </c>
      <c r="D23" s="3">
        <v>58000</v>
      </c>
      <c r="E23" s="4">
        <v>44781</v>
      </c>
      <c r="F23" s="10" t="str">
        <f t="shared" si="0"/>
        <v>GRADE14</v>
      </c>
      <c r="G23" s="14" cm="1">
        <f t="array" ref="G23">_xlfn.IFS(
D23&lt;34000,0,
D23&lt;40000,D23*5%,
D23&lt;45000,D23*10%,
D23&lt;50000,D23*15%,
D23&lt;55000,D23*20%,
D23&lt;60000,D23*25%,
D23&lt;70000,D23*30%,D23&gt;70000,D23*32%
)</f>
        <v>14500</v>
      </c>
      <c r="H23" s="14">
        <f t="shared" si="1"/>
        <v>72500</v>
      </c>
    </row>
    <row r="24" spans="1:8" x14ac:dyDescent="0.3">
      <c r="A24" s="1" t="s">
        <v>47</v>
      </c>
      <c r="B24" s="1" t="s">
        <v>10</v>
      </c>
      <c r="C24" s="2">
        <v>9</v>
      </c>
      <c r="D24" s="3">
        <v>60000</v>
      </c>
      <c r="E24" s="4">
        <v>45517</v>
      </c>
      <c r="F24" s="10" t="str">
        <f t="shared" si="0"/>
        <v>GRADE11</v>
      </c>
      <c r="G24" s="14" cm="1">
        <f t="array" ref="G24">_xlfn.IFS(
D24&lt;34000,0,
D24&lt;40000,D24*5%,
D24&lt;45000,D24*10%,
D24&lt;50000,D24*15%,
D24&lt;55000,D24*20%,
D24&lt;60000,D24*25%,
D24&lt;70000,D24*30%,D24&gt;70000,D24*32%
)</f>
        <v>18000</v>
      </c>
      <c r="H24" s="14">
        <f t="shared" si="1"/>
        <v>78000</v>
      </c>
    </row>
    <row r="25" spans="1:8" x14ac:dyDescent="0.3">
      <c r="A25" s="1" t="s">
        <v>48</v>
      </c>
      <c r="B25" s="1" t="s">
        <v>12</v>
      </c>
      <c r="C25" s="2">
        <v>8</v>
      </c>
      <c r="D25" s="3">
        <v>61000</v>
      </c>
      <c r="E25" s="4">
        <v>44285</v>
      </c>
      <c r="F25" s="10" t="str">
        <f t="shared" si="0"/>
        <v>GRADE19</v>
      </c>
      <c r="G25" s="14" cm="1">
        <f t="array" ref="G25">_xlfn.IFS(
D25&lt;34000,0,
D25&lt;40000,D25*5%,
D25&lt;45000,D25*10%,
D25&lt;50000,D25*15%,
D25&lt;55000,D25*20%,
D25&lt;60000,D25*25%,
D25&lt;70000,D25*30%,D25&gt;70000,D25*32%
)</f>
        <v>18300</v>
      </c>
      <c r="H25" s="14">
        <f t="shared" si="1"/>
        <v>79300</v>
      </c>
    </row>
    <row r="26" spans="1:8" x14ac:dyDescent="0.3">
      <c r="A26" s="1" t="s">
        <v>49</v>
      </c>
      <c r="B26" s="1" t="s">
        <v>14</v>
      </c>
      <c r="C26" s="2">
        <v>10</v>
      </c>
      <c r="D26" s="3">
        <v>62000</v>
      </c>
      <c r="E26" s="4">
        <v>43916</v>
      </c>
      <c r="F26" s="10" t="str">
        <f t="shared" si="0"/>
        <v>GRADE13</v>
      </c>
      <c r="G26" s="14" cm="1">
        <f t="array" ref="G26">_xlfn.IFS(
D26&lt;34000,0,
D26&lt;40000,D26*5%,
D26&lt;45000,D26*10%,
D26&lt;50000,D26*15%,
D26&lt;55000,D26*20%,
D26&lt;60000,D26*25%,
D26&lt;70000,D26*30%,D26&gt;70000,D26*32%
)</f>
        <v>18600</v>
      </c>
      <c r="H26" s="14">
        <f t="shared" si="1"/>
        <v>80600</v>
      </c>
    </row>
    <row r="27" spans="1:8" x14ac:dyDescent="0.3">
      <c r="A27" s="1" t="s">
        <v>50</v>
      </c>
      <c r="B27" s="1" t="s">
        <v>16</v>
      </c>
      <c r="C27" s="2">
        <v>7</v>
      </c>
      <c r="D27" s="3">
        <v>65000</v>
      </c>
      <c r="E27" s="4">
        <v>44361</v>
      </c>
      <c r="F27" s="10" t="str">
        <f t="shared" si="0"/>
        <v>GRADE5</v>
      </c>
      <c r="G27" s="14" cm="1">
        <f t="array" ref="G27">_xlfn.IFS(
D27&lt;34000,0,
D27&lt;40000,D27*5%,
D27&lt;45000,D27*10%,
D27&lt;50000,D27*15%,
D27&lt;55000,D27*20%,
D27&lt;60000,D27*25%,
D27&lt;70000,D27*30%,D27&gt;70000,D27*32%
)</f>
        <v>19500</v>
      </c>
      <c r="H27" s="14">
        <f t="shared" si="1"/>
        <v>84500</v>
      </c>
    </row>
    <row r="28" spans="1:8" x14ac:dyDescent="0.3">
      <c r="A28" s="1" t="s">
        <v>51</v>
      </c>
      <c r="B28" s="1" t="s">
        <v>18</v>
      </c>
      <c r="C28" s="2">
        <v>9</v>
      </c>
      <c r="D28" s="3">
        <v>67000</v>
      </c>
      <c r="E28" s="4">
        <v>45571</v>
      </c>
      <c r="F28" s="10" t="str">
        <f t="shared" si="0"/>
        <v>GRADE16</v>
      </c>
      <c r="G28" s="14" cm="1">
        <f t="array" ref="G28">_xlfn.IFS(
D28&lt;34000,0,
D28&lt;40000,D28*5%,
D28&lt;45000,D28*10%,
D28&lt;50000,D28*15%,
D28&lt;55000,D28*20%,
D28&lt;60000,D28*25%,
D28&lt;70000,D28*30%,D28&gt;70000,D28*32%
)</f>
        <v>20100</v>
      </c>
      <c r="H28" s="14">
        <f t="shared" si="1"/>
        <v>87100</v>
      </c>
    </row>
    <row r="29" spans="1:8" x14ac:dyDescent="0.3">
      <c r="A29" s="1" t="s">
        <v>52</v>
      </c>
      <c r="B29" s="1" t="s">
        <v>20</v>
      </c>
      <c r="C29" s="2">
        <v>8</v>
      </c>
      <c r="D29" s="3">
        <v>68000</v>
      </c>
      <c r="E29" s="4">
        <v>44616</v>
      </c>
      <c r="F29" s="10" t="str">
        <f t="shared" si="0"/>
        <v>GRADE23</v>
      </c>
      <c r="G29" s="14" cm="1">
        <f t="array" ref="G29">_xlfn.IFS(
D29&lt;34000,0,
D29&lt;40000,D29*5%,
D29&lt;45000,D29*10%,
D29&lt;50000,D29*15%,
D29&lt;55000,D29*20%,
D29&lt;60000,D29*25%,
D29&lt;70000,D29*30%,D29&gt;70000,D29*32%
)</f>
        <v>20400</v>
      </c>
      <c r="H29" s="14">
        <f t="shared" si="1"/>
        <v>88400</v>
      </c>
    </row>
    <row r="30" spans="1:8" x14ac:dyDescent="0.3">
      <c r="A30" s="1" t="s">
        <v>53</v>
      </c>
      <c r="B30" s="1" t="s">
        <v>22</v>
      </c>
      <c r="C30" s="2">
        <v>8</v>
      </c>
      <c r="D30" s="3">
        <v>70000</v>
      </c>
      <c r="E30" s="4">
        <v>45021</v>
      </c>
      <c r="F30" s="10" t="str">
        <f t="shared" si="0"/>
        <v>GRADE8</v>
      </c>
      <c r="G30" s="14" cm="1">
        <f t="array" ref="G30">_xlfn.IFS(
D30&lt;34000,0,
D30&lt;40000,D30*5%,
D30&lt;45000,D30*10%,
D30&lt;50000,D30*15%,
D30&lt;55000,D30*20%,
D30&lt;60000,D30*25%,
D30&lt;=70000,D30*30%,D30&gt;70000,D30*32%
)</f>
        <v>21000</v>
      </c>
      <c r="H30" s="14">
        <f t="shared" si="1"/>
        <v>91000</v>
      </c>
    </row>
    <row r="31" spans="1:8" x14ac:dyDescent="0.3">
      <c r="A31" s="1" t="s">
        <v>54</v>
      </c>
      <c r="B31" s="1" t="s">
        <v>24</v>
      </c>
      <c r="C31" s="2">
        <v>9</v>
      </c>
      <c r="D31" s="3">
        <v>72000</v>
      </c>
      <c r="E31" s="4">
        <v>44829</v>
      </c>
      <c r="F31" s="10" t="str">
        <f t="shared" si="0"/>
        <v>GRADE26</v>
      </c>
      <c r="G31" s="14" cm="1">
        <f t="array" ref="G31">_xlfn.IFS(
D31&lt;34000,0,
D31&lt;40000,D31*5%,
D31&lt;45000,D31*10%,
D31&lt;50000,D31*15%,
D31&lt;55000,D31*20%,
D31&lt;60000,D31*25%,
D31&lt;70000,D31*30%,D31&gt;70000,D31*32%
)</f>
        <v>23040</v>
      </c>
      <c r="H31" s="14">
        <f t="shared" si="1"/>
        <v>95040</v>
      </c>
    </row>
  </sheetData>
  <sortState xmlns:xlrd2="http://schemas.microsoft.com/office/spreadsheetml/2017/richdata2" ref="D2:D31">
    <sortCondition ref="D1:D31"/>
  </sortState>
  <mergeCells count="1">
    <mergeCell ref="J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VLOOKUP</vt:lpstr>
      <vt:lpstr>DDATA_VLOOKUP</vt:lpstr>
      <vt:lpstr>Sheet1</vt:lpstr>
      <vt:lpstr>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pateriya</dc:creator>
  <cp:lastModifiedBy>aayush pateriya</cp:lastModifiedBy>
  <dcterms:created xsi:type="dcterms:W3CDTF">2026-03-05T22:32:08Z</dcterms:created>
  <dcterms:modified xsi:type="dcterms:W3CDTF">2026-03-06T17:29:28Z</dcterms:modified>
</cp:coreProperties>
</file>