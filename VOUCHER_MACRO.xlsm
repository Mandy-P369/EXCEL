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fc81b0e6ad29d4c/Desktop/EXCEL/"/>
    </mc:Choice>
  </mc:AlternateContent>
  <xr:revisionPtr revIDLastSave="56" documentId="8_{31CF31D7-690A-43CF-A6F9-92B974D5A90F}" xr6:coauthVersionLast="47" xr6:coauthVersionMax="47" xr10:uidLastSave="{0481DF5A-8508-4CAF-BDDE-2C9EC1FBC6A6}"/>
  <bookViews>
    <workbookView xWindow="-108" yWindow="-108" windowWidth="23256" windowHeight="13176" activeTab="4" xr2:uid="{D09922D0-EBBA-4BB8-9C38-AB954604B68A}"/>
  </bookViews>
  <sheets>
    <sheet name="DATA" sheetId="1" r:id="rId1"/>
    <sheet name="MACRO" sheetId="2" r:id="rId2"/>
    <sheet name="V_data" sheetId="5" r:id="rId3"/>
    <sheet name="V_data_2" sheetId="7" r:id="rId4"/>
    <sheet name="Sheet2" sheetId="8" r:id="rId5"/>
  </sheets>
  <definedNames>
    <definedName name="_xlnm._FilterDatabase" localSheetId="2" hidden="1">V_data!$A$1:$G$71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7" l="1"/>
  <c r="L3" i="7"/>
  <c r="L4" i="7"/>
  <c r="L5" i="7"/>
  <c r="L6" i="7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" i="7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M3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2" i="5"/>
  <c r="M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" i="5"/>
  <c r="H3" i="2"/>
  <c r="H4" i="2"/>
  <c r="H5" i="2"/>
  <c r="H6" i="2"/>
  <c r="H7" i="2"/>
  <c r="H8" i="2"/>
  <c r="H9" i="2"/>
  <c r="H10" i="2"/>
  <c r="H2" i="2"/>
  <c r="H3" i="1"/>
  <c r="H4" i="1"/>
  <c r="H5" i="1"/>
  <c r="H6" i="1"/>
  <c r="H7" i="1"/>
  <c r="H8" i="1"/>
  <c r="H9" i="1"/>
  <c r="H10" i="1"/>
  <c r="H2" i="1"/>
  <c r="G10" i="2"/>
  <c r="E10" i="2"/>
  <c r="G10" i="1"/>
  <c r="E10" i="1"/>
</calcChain>
</file>

<file path=xl/sharedStrings.xml><?xml version="1.0" encoding="utf-8"?>
<sst xmlns="http://schemas.openxmlformats.org/spreadsheetml/2006/main" count="950" uniqueCount="170">
  <si>
    <t>EmployeeID</t>
  </si>
  <si>
    <t>Name</t>
  </si>
  <si>
    <t>Department</t>
  </si>
  <si>
    <t>Region</t>
  </si>
  <si>
    <t>Salary</t>
  </si>
  <si>
    <t>JoinDate</t>
  </si>
  <si>
    <t>PerformanceScore</t>
  </si>
  <si>
    <t>E001</t>
  </si>
  <si>
    <t>John Smith</t>
  </si>
  <si>
    <t>Sales</t>
  </si>
  <si>
    <t>North</t>
  </si>
  <si>
    <t>E002</t>
  </si>
  <si>
    <t>Maria Garcia</t>
  </si>
  <si>
    <t>HR</t>
  </si>
  <si>
    <t>East</t>
  </si>
  <si>
    <t>E003</t>
  </si>
  <si>
    <t>David Lee</t>
  </si>
  <si>
    <t>IT</t>
  </si>
  <si>
    <t>West</t>
  </si>
  <si>
    <t>E004</t>
  </si>
  <si>
    <t>Sarah Johnson</t>
  </si>
  <si>
    <t>Finance</t>
  </si>
  <si>
    <t>South</t>
  </si>
  <si>
    <t>E005</t>
  </si>
  <si>
    <t>Michael Brown</t>
  </si>
  <si>
    <t>E006</t>
  </si>
  <si>
    <t>Emily Davis</t>
  </si>
  <si>
    <t>E007</t>
  </si>
  <si>
    <t>Daniel Wilson</t>
  </si>
  <si>
    <t>E008</t>
  </si>
  <si>
    <t>Olivia Martinez</t>
  </si>
  <si>
    <t>E009</t>
  </si>
  <si>
    <t>James Anderson</t>
  </si>
  <si>
    <t>E010</t>
  </si>
  <si>
    <t>Sophia Thomas</t>
  </si>
  <si>
    <t>E011</t>
  </si>
  <si>
    <t>Benjamin Taylor</t>
  </si>
  <si>
    <t>E012</t>
  </si>
  <si>
    <t>Isabella Moore</t>
  </si>
  <si>
    <t>E013</t>
  </si>
  <si>
    <t>William Martin</t>
  </si>
  <si>
    <t>E014</t>
  </si>
  <si>
    <t>Mia Jackson</t>
  </si>
  <si>
    <t>E015</t>
  </si>
  <si>
    <t>Lucas White</t>
  </si>
  <si>
    <t>E016</t>
  </si>
  <si>
    <t>Charlotte Harris</t>
  </si>
  <si>
    <t>Performance_%</t>
  </si>
  <si>
    <t>Date</t>
  </si>
  <si>
    <t>Purchase</t>
  </si>
  <si>
    <t>V_type</t>
  </si>
  <si>
    <t>Voucher no</t>
  </si>
  <si>
    <t>State</t>
  </si>
  <si>
    <t>Courses</t>
  </si>
  <si>
    <t>Quantity</t>
  </si>
  <si>
    <t>Sale</t>
  </si>
  <si>
    <t>California</t>
  </si>
  <si>
    <t>Data Science</t>
  </si>
  <si>
    <t>Texas</t>
  </si>
  <si>
    <t>Web Development</t>
  </si>
  <si>
    <t>Florida</t>
  </si>
  <si>
    <t>Digital Marketing</t>
  </si>
  <si>
    <t>Refund</t>
  </si>
  <si>
    <t>New York</t>
  </si>
  <si>
    <t>Graphic Design</t>
  </si>
  <si>
    <t>Illinois</t>
  </si>
  <si>
    <t>Python Programming</t>
  </si>
  <si>
    <t>Machine Learning</t>
  </si>
  <si>
    <t>Cloud Computing</t>
  </si>
  <si>
    <t>Cyber Security</t>
  </si>
  <si>
    <t>AI Fundamentals</t>
  </si>
  <si>
    <t>Excel Mastery</t>
  </si>
  <si>
    <t>Data Analytics</t>
  </si>
  <si>
    <t>Full Stack Development</t>
  </si>
  <si>
    <t>SEO Marketing</t>
  </si>
  <si>
    <t>UI/UX Design</t>
  </si>
  <si>
    <t>Power BI</t>
  </si>
  <si>
    <t>Tableau</t>
  </si>
  <si>
    <t>Blockchain Basics</t>
  </si>
  <si>
    <t>Content Writing</t>
  </si>
  <si>
    <t>Advanced Excel</t>
  </si>
  <si>
    <t>SQL Programming</t>
  </si>
  <si>
    <t>V1031</t>
  </si>
  <si>
    <t>V1032</t>
  </si>
  <si>
    <t>V1033</t>
  </si>
  <si>
    <t>V1034</t>
  </si>
  <si>
    <t>V1035</t>
  </si>
  <si>
    <t>V1036</t>
  </si>
  <si>
    <t>V1037</t>
  </si>
  <si>
    <t>V1038</t>
  </si>
  <si>
    <t>V1039</t>
  </si>
  <si>
    <t>V1040</t>
  </si>
  <si>
    <t>V1041</t>
  </si>
  <si>
    <t>V1042</t>
  </si>
  <si>
    <t>V1043</t>
  </si>
  <si>
    <t>V1044</t>
  </si>
  <si>
    <t>V1045</t>
  </si>
  <si>
    <t>V1046</t>
  </si>
  <si>
    <t>V1047</t>
  </si>
  <si>
    <t>V1048</t>
  </si>
  <si>
    <t>V1049</t>
  </si>
  <si>
    <t>V1050</t>
  </si>
  <si>
    <t>V1051</t>
  </si>
  <si>
    <t>V1052</t>
  </si>
  <si>
    <t>V1053</t>
  </si>
  <si>
    <t>V1054</t>
  </si>
  <si>
    <t>V1055</t>
  </si>
  <si>
    <t>V1056</t>
  </si>
  <si>
    <t>V1057</t>
  </si>
  <si>
    <t>V1058</t>
  </si>
  <si>
    <t>V1059</t>
  </si>
  <si>
    <t>V1060</t>
  </si>
  <si>
    <t>V1061</t>
  </si>
  <si>
    <t>V1062</t>
  </si>
  <si>
    <t>V1063</t>
  </si>
  <si>
    <t>V1064</t>
  </si>
  <si>
    <t>V1065</t>
  </si>
  <si>
    <t>V1066</t>
  </si>
  <si>
    <t>V1067</t>
  </si>
  <si>
    <t>V1068</t>
  </si>
  <si>
    <t>V1069</t>
  </si>
  <si>
    <t>V1070</t>
  </si>
  <si>
    <t>V1071</t>
  </si>
  <si>
    <t>V1072</t>
  </si>
  <si>
    <t>V1073</t>
  </si>
  <si>
    <t>V1074</t>
  </si>
  <si>
    <t>V1075</t>
  </si>
  <si>
    <t>V1076</t>
  </si>
  <si>
    <t>V1077</t>
  </si>
  <si>
    <t>V1078</t>
  </si>
  <si>
    <t>V1079</t>
  </si>
  <si>
    <t>V1080</t>
  </si>
  <si>
    <t>V1081</t>
  </si>
  <si>
    <t>V1082</t>
  </si>
  <si>
    <t>V1083</t>
  </si>
  <si>
    <t>V1084</t>
  </si>
  <si>
    <t>V1085</t>
  </si>
  <si>
    <t>V1086</t>
  </si>
  <si>
    <t>V1087</t>
  </si>
  <si>
    <t>V1088</t>
  </si>
  <si>
    <t>V1089</t>
  </si>
  <si>
    <t>V1090</t>
  </si>
  <si>
    <t>V1091</t>
  </si>
  <si>
    <t>V1092</t>
  </si>
  <si>
    <t>V1093</t>
  </si>
  <si>
    <t>V1094</t>
  </si>
  <si>
    <t>V1095</t>
  </si>
  <si>
    <t>V1096</t>
  </si>
  <si>
    <t>V1097</t>
  </si>
  <si>
    <t>V1098</t>
  </si>
  <si>
    <t>V1099</t>
  </si>
  <si>
    <t>V1100</t>
  </si>
  <si>
    <t>TotalCost</t>
  </si>
  <si>
    <t>unit cost</t>
  </si>
  <si>
    <t>Sum of Quantity</t>
  </si>
  <si>
    <t>Sum of unit cost</t>
  </si>
  <si>
    <t>Sum of TotalCost</t>
  </si>
  <si>
    <t>Grand Total</t>
  </si>
  <si>
    <t>count of quantity</t>
  </si>
  <si>
    <t>Total unit cost</t>
  </si>
  <si>
    <t>NY</t>
  </si>
  <si>
    <t>Excel</t>
  </si>
  <si>
    <t>CA</t>
  </si>
  <si>
    <t>Python</t>
  </si>
  <si>
    <t>TX</t>
  </si>
  <si>
    <t>FL</t>
  </si>
  <si>
    <t>SQL</t>
  </si>
  <si>
    <t>IL</t>
  </si>
  <si>
    <t>Vouchno</t>
  </si>
  <si>
    <t>Sum of Total 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</si>
</sst>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rgb="FFFF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14" fontId="0" fillId="0" borderId="0" xfId="0" applyNumberFormat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9" fontId="0" fillId="0" borderId="0" xfId="1" applyFont="1"/>
    <xf numFmtId="0" fontId="0" fillId="2" borderId="0" xfId="0" applyFill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0" fontId="5" fillId="3" borderId="0" xfId="0" applyFont="1" applyFill="1" applyAlignment="1">
      <alignment vertical="center" wrapText="1"/>
    </xf>
    <xf numFmtId="14" fontId="5" fillId="3" borderId="0" xfId="0" applyNumberFormat="1" applyFont="1" applyFill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2" fillId="2" borderId="0" xfId="0" applyFont="1" applyFill="1"/>
  </cellXfs>
  <cellStyles count="2">
    <cellStyle name="Normal" xfId="0" builtinId="0"/>
    <cellStyle name="Percent" xfId="1" builtinId="5"/>
  </cellStyles>
  <dxfs count="22"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general" vertical="center" textRotation="0" wrapText="1" indent="0" justifyLastLine="0" shrinkToFit="0" readingOrder="0"/>
    </dxf>
    <dxf>
      <numFmt numFmtId="19" formatCode="dd/mm/yyyy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indexed="64"/>
          <bgColor theme="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yush" refreshedDate="46085.689675694448" createdVersion="8" refreshedVersion="8" minRefreshableVersion="3" recordCount="70" xr:uid="{629FD700-A12C-4BBD-BE81-E83EF0958874}">
  <cacheSource type="worksheet">
    <worksheetSource ref="A1:H71" sheet="V_data"/>
  </cacheSource>
  <cacheFields count="8">
    <cacheField name="Date" numFmtId="14">
      <sharedItems containsSemiMixedTypes="0" containsNonDate="0" containsDate="1" containsString="0" minDate="2026-05-01T00:00:00" maxDate="2026-07-10T00:00:00"/>
    </cacheField>
    <cacheField name="V_type" numFmtId="0">
      <sharedItems/>
    </cacheField>
    <cacheField name="Voucher no" numFmtId="0">
      <sharedItems/>
    </cacheField>
    <cacheField name="State" numFmtId="0">
      <sharedItems count="5">
        <s v="California"/>
        <s v="Texas"/>
        <s v="Florida"/>
        <s v="New York"/>
        <s v="Illinois"/>
      </sharedItems>
    </cacheField>
    <cacheField name="Courses" numFmtId="0">
      <sharedItems count="20">
        <s v="Power BI"/>
        <s v="SQL Programming"/>
        <s v="Content Writing"/>
        <s v="UI/UX Design"/>
        <s v="Tableau"/>
        <s v="Data Analytics"/>
        <s v="Blockchain Basics"/>
        <s v="Advanced Excel"/>
        <s v="SEO Marketing"/>
        <s v="Full Stack Development"/>
        <s v="Data Science"/>
        <s v="Web Development"/>
        <s v="Digital Marketing"/>
        <s v="Graphic Design"/>
        <s v="Python Programming"/>
        <s v="Machine Learning"/>
        <s v="Cloud Computing"/>
        <s v="Cyber Security"/>
        <s v="AI Fundamentals"/>
        <s v="Excel Mastery"/>
      </sharedItems>
    </cacheField>
    <cacheField name="Quantity" numFmtId="0">
      <sharedItems containsSemiMixedTypes="0" containsString="0" containsNumber="1" containsInteger="1" minValue="48" maxValue="102"/>
    </cacheField>
    <cacheField name="unit cost" numFmtId="0">
      <sharedItems containsSemiMixedTypes="0" containsString="0" containsNumber="1" containsInteger="1" minValue="1526" maxValue="5456"/>
    </cacheField>
    <cacheField name="TotalCost" numFmtId="0">
      <sharedItems containsSemiMixedTypes="0" containsString="0" containsNumber="1" containsInteger="1" minValue="74774" maxValue="4389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d v="2026-05-01T00:00:00"/>
    <s v="Sale"/>
    <s v="V1031"/>
    <x v="0"/>
    <x v="0"/>
    <n v="58"/>
    <n v="3499"/>
    <n v="202942"/>
  </r>
  <r>
    <d v="2026-05-02T00:00:00"/>
    <s v="Purchase"/>
    <s v="V1032"/>
    <x v="1"/>
    <x v="1"/>
    <n v="63"/>
    <n v="3764"/>
    <n v="237132"/>
  </r>
  <r>
    <d v="2026-05-03T00:00:00"/>
    <s v="Sale"/>
    <s v="V1033"/>
    <x v="2"/>
    <x v="2"/>
    <n v="52"/>
    <n v="2522"/>
    <n v="131144"/>
  </r>
  <r>
    <d v="2026-05-04T00:00:00"/>
    <s v="Refund"/>
    <s v="V1034"/>
    <x v="3"/>
    <x v="3"/>
    <n v="102"/>
    <n v="1638"/>
    <n v="167076"/>
  </r>
  <r>
    <d v="2026-05-05T00:00:00"/>
    <s v="Sale"/>
    <s v="V1035"/>
    <x v="4"/>
    <x v="4"/>
    <n v="69"/>
    <n v="5054"/>
    <n v="348726"/>
  </r>
  <r>
    <d v="2026-05-06T00:00:00"/>
    <s v="Purchase"/>
    <s v="V1036"/>
    <x v="0"/>
    <x v="5"/>
    <n v="89"/>
    <n v="4659"/>
    <n v="414651"/>
  </r>
  <r>
    <d v="2026-05-07T00:00:00"/>
    <s v="Sale"/>
    <s v="V1037"/>
    <x v="1"/>
    <x v="6"/>
    <n v="73"/>
    <n v="4510"/>
    <n v="329230"/>
  </r>
  <r>
    <d v="2026-05-08T00:00:00"/>
    <s v="Sale"/>
    <s v="V1038"/>
    <x v="2"/>
    <x v="7"/>
    <n v="67"/>
    <n v="5456"/>
    <n v="365552"/>
  </r>
  <r>
    <d v="2026-05-09T00:00:00"/>
    <s v="Refund"/>
    <s v="V1039"/>
    <x v="3"/>
    <x v="8"/>
    <n v="55"/>
    <n v="4672"/>
    <n v="256960"/>
  </r>
  <r>
    <d v="2026-05-10T00:00:00"/>
    <s v="Sale"/>
    <s v="V1040"/>
    <x v="4"/>
    <x v="9"/>
    <n v="102"/>
    <n v="3299"/>
    <n v="336498"/>
  </r>
  <r>
    <d v="2026-05-11T00:00:00"/>
    <s v="Sale"/>
    <s v="V1041"/>
    <x v="0"/>
    <x v="10"/>
    <n v="74"/>
    <n v="2619"/>
    <n v="193806"/>
  </r>
  <r>
    <d v="2026-05-12T00:00:00"/>
    <s v="Purchase"/>
    <s v="V1042"/>
    <x v="1"/>
    <x v="11"/>
    <n v="69"/>
    <n v="3620"/>
    <n v="249780"/>
  </r>
  <r>
    <d v="2026-05-13T00:00:00"/>
    <s v="Sale"/>
    <s v="V1043"/>
    <x v="2"/>
    <x v="12"/>
    <n v="80"/>
    <n v="3906"/>
    <n v="312480"/>
  </r>
  <r>
    <d v="2026-05-14T00:00:00"/>
    <s v="Refund"/>
    <s v="V1044"/>
    <x v="3"/>
    <x v="13"/>
    <n v="85"/>
    <n v="2813"/>
    <n v="239105"/>
  </r>
  <r>
    <d v="2026-05-15T00:00:00"/>
    <s v="Sale"/>
    <s v="V1045"/>
    <x v="4"/>
    <x v="14"/>
    <n v="75"/>
    <n v="1778"/>
    <n v="133350"/>
  </r>
  <r>
    <d v="2026-05-16T00:00:00"/>
    <s v="Purchase"/>
    <s v="V1046"/>
    <x v="0"/>
    <x v="15"/>
    <n v="79"/>
    <n v="4036"/>
    <n v="318844"/>
  </r>
  <r>
    <d v="2026-05-17T00:00:00"/>
    <s v="Sale"/>
    <s v="V1047"/>
    <x v="1"/>
    <x v="16"/>
    <n v="52"/>
    <n v="3460"/>
    <n v="179920"/>
  </r>
  <r>
    <d v="2026-05-18T00:00:00"/>
    <s v="Sale"/>
    <s v="V1048"/>
    <x v="2"/>
    <x v="17"/>
    <n v="84"/>
    <n v="4849"/>
    <n v="407316"/>
  </r>
  <r>
    <d v="2026-05-19T00:00:00"/>
    <s v="Refund"/>
    <s v="V1049"/>
    <x v="3"/>
    <x v="18"/>
    <n v="83"/>
    <n v="2636"/>
    <n v="218788"/>
  </r>
  <r>
    <d v="2026-05-20T00:00:00"/>
    <s v="Sale"/>
    <s v="V1050"/>
    <x v="4"/>
    <x v="19"/>
    <n v="86"/>
    <n v="3371"/>
    <n v="289906"/>
  </r>
  <r>
    <d v="2026-05-21T00:00:00"/>
    <s v="Sale"/>
    <s v="V1051"/>
    <x v="0"/>
    <x v="0"/>
    <n v="58"/>
    <n v="3640"/>
    <n v="211120"/>
  </r>
  <r>
    <d v="2026-05-22T00:00:00"/>
    <s v="Purchase"/>
    <s v="V1052"/>
    <x v="1"/>
    <x v="1"/>
    <n v="93"/>
    <n v="4102"/>
    <n v="381486"/>
  </r>
  <r>
    <d v="2026-05-23T00:00:00"/>
    <s v="Sale"/>
    <s v="V1053"/>
    <x v="2"/>
    <x v="2"/>
    <n v="65"/>
    <n v="2083"/>
    <n v="135395"/>
  </r>
  <r>
    <d v="2026-05-24T00:00:00"/>
    <s v="Refund"/>
    <s v="V1054"/>
    <x v="3"/>
    <x v="3"/>
    <n v="89"/>
    <n v="4932"/>
    <n v="438948"/>
  </r>
  <r>
    <d v="2026-05-25T00:00:00"/>
    <s v="Sale"/>
    <s v="V1055"/>
    <x v="4"/>
    <x v="4"/>
    <n v="64"/>
    <n v="3699"/>
    <n v="236736"/>
  </r>
  <r>
    <d v="2026-05-26T00:00:00"/>
    <s v="Purchase"/>
    <s v="V1056"/>
    <x v="0"/>
    <x v="5"/>
    <n v="80"/>
    <n v="4631"/>
    <n v="370480"/>
  </r>
  <r>
    <d v="2026-05-27T00:00:00"/>
    <s v="Sale"/>
    <s v="V1057"/>
    <x v="1"/>
    <x v="6"/>
    <n v="72"/>
    <n v="3257"/>
    <n v="234504"/>
  </r>
  <r>
    <d v="2026-05-28T00:00:00"/>
    <s v="Sale"/>
    <s v="V1058"/>
    <x v="2"/>
    <x v="7"/>
    <n v="82"/>
    <n v="2662"/>
    <n v="218284"/>
  </r>
  <r>
    <d v="2026-05-29T00:00:00"/>
    <s v="Refund"/>
    <s v="V1059"/>
    <x v="3"/>
    <x v="8"/>
    <n v="76"/>
    <n v="2848"/>
    <n v="216448"/>
  </r>
  <r>
    <d v="2026-05-30T00:00:00"/>
    <s v="Sale"/>
    <s v="V1060"/>
    <x v="4"/>
    <x v="9"/>
    <n v="57"/>
    <n v="2980"/>
    <n v="169860"/>
  </r>
  <r>
    <d v="2026-05-31T00:00:00"/>
    <s v="Sale"/>
    <s v="V1061"/>
    <x v="0"/>
    <x v="10"/>
    <n v="84"/>
    <n v="3850"/>
    <n v="323400"/>
  </r>
  <r>
    <d v="2026-06-01T00:00:00"/>
    <s v="Purchase"/>
    <s v="V1062"/>
    <x v="1"/>
    <x v="11"/>
    <n v="98"/>
    <n v="1889"/>
    <n v="185122"/>
  </r>
  <r>
    <d v="2026-06-02T00:00:00"/>
    <s v="Sale"/>
    <s v="V1063"/>
    <x v="2"/>
    <x v="12"/>
    <n v="57"/>
    <n v="3647"/>
    <n v="207879"/>
  </r>
  <r>
    <d v="2026-06-03T00:00:00"/>
    <s v="Refund"/>
    <s v="V1064"/>
    <x v="3"/>
    <x v="13"/>
    <n v="82"/>
    <n v="2008"/>
    <n v="164656"/>
  </r>
  <r>
    <d v="2026-06-04T00:00:00"/>
    <s v="Sale"/>
    <s v="V1065"/>
    <x v="4"/>
    <x v="14"/>
    <n v="59"/>
    <n v="4205"/>
    <n v="248095"/>
  </r>
  <r>
    <d v="2026-06-05T00:00:00"/>
    <s v="Purchase"/>
    <s v="V1066"/>
    <x v="0"/>
    <x v="15"/>
    <n v="67"/>
    <n v="3307"/>
    <n v="221569"/>
  </r>
  <r>
    <d v="2026-06-06T00:00:00"/>
    <s v="Sale"/>
    <s v="V1067"/>
    <x v="1"/>
    <x v="16"/>
    <n v="89"/>
    <n v="3973"/>
    <n v="353597"/>
  </r>
  <r>
    <d v="2026-06-07T00:00:00"/>
    <s v="Sale"/>
    <s v="V1068"/>
    <x v="2"/>
    <x v="17"/>
    <n v="87"/>
    <n v="2151"/>
    <n v="187137"/>
  </r>
  <r>
    <d v="2026-06-08T00:00:00"/>
    <s v="Refund"/>
    <s v="V1069"/>
    <x v="3"/>
    <x v="18"/>
    <n v="86"/>
    <n v="2975"/>
    <n v="255850"/>
  </r>
  <r>
    <d v="2026-06-09T00:00:00"/>
    <s v="Sale"/>
    <s v="V1070"/>
    <x v="4"/>
    <x v="19"/>
    <n v="48"/>
    <n v="4565"/>
    <n v="219120"/>
  </r>
  <r>
    <d v="2026-06-10T00:00:00"/>
    <s v="Sale"/>
    <s v="V1071"/>
    <x v="0"/>
    <x v="0"/>
    <n v="91"/>
    <n v="3653"/>
    <n v="332423"/>
  </r>
  <r>
    <d v="2026-06-11T00:00:00"/>
    <s v="Purchase"/>
    <s v="V1072"/>
    <x v="1"/>
    <x v="1"/>
    <n v="65"/>
    <n v="3992"/>
    <n v="259480"/>
  </r>
  <r>
    <d v="2026-06-12T00:00:00"/>
    <s v="Sale"/>
    <s v="V1073"/>
    <x v="2"/>
    <x v="2"/>
    <n v="63"/>
    <n v="2673"/>
    <n v="168399"/>
  </r>
  <r>
    <d v="2026-06-13T00:00:00"/>
    <s v="Refund"/>
    <s v="V1074"/>
    <x v="3"/>
    <x v="3"/>
    <n v="57"/>
    <n v="2712"/>
    <n v="154584"/>
  </r>
  <r>
    <d v="2026-06-14T00:00:00"/>
    <s v="Sale"/>
    <s v="V1075"/>
    <x v="4"/>
    <x v="4"/>
    <n v="65"/>
    <n v="2492"/>
    <n v="161980"/>
  </r>
  <r>
    <d v="2026-06-15T00:00:00"/>
    <s v="Purchase"/>
    <s v="V1076"/>
    <x v="0"/>
    <x v="5"/>
    <n v="57"/>
    <n v="4933"/>
    <n v="281181"/>
  </r>
  <r>
    <d v="2026-06-16T00:00:00"/>
    <s v="Sale"/>
    <s v="V1077"/>
    <x v="1"/>
    <x v="6"/>
    <n v="53"/>
    <n v="3727"/>
    <n v="197531"/>
  </r>
  <r>
    <d v="2026-06-17T00:00:00"/>
    <s v="Sale"/>
    <s v="V1078"/>
    <x v="2"/>
    <x v="7"/>
    <n v="52"/>
    <n v="3454"/>
    <n v="179608"/>
  </r>
  <r>
    <d v="2026-06-18T00:00:00"/>
    <s v="Refund"/>
    <s v="V1079"/>
    <x v="3"/>
    <x v="8"/>
    <n v="48"/>
    <n v="2615"/>
    <n v="125520"/>
  </r>
  <r>
    <d v="2026-06-19T00:00:00"/>
    <s v="Sale"/>
    <s v="V1080"/>
    <x v="4"/>
    <x v="9"/>
    <n v="64"/>
    <n v="4211"/>
    <n v="269504"/>
  </r>
  <r>
    <d v="2026-06-20T00:00:00"/>
    <s v="Sale"/>
    <s v="V1081"/>
    <x v="0"/>
    <x v="10"/>
    <n v="72"/>
    <n v="4535"/>
    <n v="326520"/>
  </r>
  <r>
    <d v="2026-06-21T00:00:00"/>
    <s v="Purchase"/>
    <s v="V1082"/>
    <x v="1"/>
    <x v="11"/>
    <n v="60"/>
    <n v="1918"/>
    <n v="115080"/>
  </r>
  <r>
    <d v="2026-06-22T00:00:00"/>
    <s v="Sale"/>
    <s v="V1083"/>
    <x v="2"/>
    <x v="12"/>
    <n v="71"/>
    <n v="5011"/>
    <n v="355781"/>
  </r>
  <r>
    <d v="2026-06-23T00:00:00"/>
    <s v="Refund"/>
    <s v="V1084"/>
    <x v="3"/>
    <x v="13"/>
    <n v="70"/>
    <n v="5394"/>
    <n v="377580"/>
  </r>
  <r>
    <d v="2026-06-24T00:00:00"/>
    <s v="Sale"/>
    <s v="V1085"/>
    <x v="4"/>
    <x v="14"/>
    <n v="95"/>
    <n v="2606"/>
    <n v="247570"/>
  </r>
  <r>
    <d v="2026-06-25T00:00:00"/>
    <s v="Purchase"/>
    <s v="V1086"/>
    <x v="0"/>
    <x v="15"/>
    <n v="49"/>
    <n v="1825"/>
    <n v="89425"/>
  </r>
  <r>
    <d v="2026-06-26T00:00:00"/>
    <s v="Sale"/>
    <s v="V1087"/>
    <x v="1"/>
    <x v="16"/>
    <n v="80"/>
    <n v="5100"/>
    <n v="408000"/>
  </r>
  <r>
    <d v="2026-06-27T00:00:00"/>
    <s v="Sale"/>
    <s v="V1088"/>
    <x v="2"/>
    <x v="17"/>
    <n v="58"/>
    <n v="5297"/>
    <n v="307226"/>
  </r>
  <r>
    <d v="2026-06-28T00:00:00"/>
    <s v="Refund"/>
    <s v="V1089"/>
    <x v="3"/>
    <x v="18"/>
    <n v="65"/>
    <n v="1910"/>
    <n v="124150"/>
  </r>
  <r>
    <d v="2026-06-29T00:00:00"/>
    <s v="Sale"/>
    <s v="V1090"/>
    <x v="4"/>
    <x v="19"/>
    <n v="80"/>
    <n v="3982"/>
    <n v="318560"/>
  </r>
  <r>
    <d v="2026-06-30T00:00:00"/>
    <s v="Sale"/>
    <s v="V1091"/>
    <x v="0"/>
    <x v="0"/>
    <n v="88"/>
    <n v="1727"/>
    <n v="151976"/>
  </r>
  <r>
    <d v="2026-07-01T00:00:00"/>
    <s v="Purchase"/>
    <s v="V1092"/>
    <x v="1"/>
    <x v="1"/>
    <n v="51"/>
    <n v="1693"/>
    <n v="86343"/>
  </r>
  <r>
    <d v="2026-07-02T00:00:00"/>
    <s v="Sale"/>
    <s v="V1093"/>
    <x v="2"/>
    <x v="2"/>
    <n v="49"/>
    <n v="1526"/>
    <n v="74774"/>
  </r>
  <r>
    <d v="2026-07-03T00:00:00"/>
    <s v="Refund"/>
    <s v="V1094"/>
    <x v="3"/>
    <x v="3"/>
    <n v="60"/>
    <n v="3631"/>
    <n v="217860"/>
  </r>
  <r>
    <d v="2026-07-04T00:00:00"/>
    <s v="Sale"/>
    <s v="V1095"/>
    <x v="4"/>
    <x v="4"/>
    <n v="76"/>
    <n v="1772"/>
    <n v="134672"/>
  </r>
  <r>
    <d v="2026-07-05T00:00:00"/>
    <s v="Purchase"/>
    <s v="V1096"/>
    <x v="0"/>
    <x v="5"/>
    <n v="82"/>
    <n v="1878"/>
    <n v="153996"/>
  </r>
  <r>
    <d v="2026-07-06T00:00:00"/>
    <s v="Sale"/>
    <s v="V1097"/>
    <x v="1"/>
    <x v="6"/>
    <n v="63"/>
    <n v="3820"/>
    <n v="240660"/>
  </r>
  <r>
    <d v="2026-07-07T00:00:00"/>
    <s v="Sale"/>
    <s v="V1098"/>
    <x v="2"/>
    <x v="7"/>
    <n v="65"/>
    <n v="1626"/>
    <n v="105690"/>
  </r>
  <r>
    <d v="2026-07-08T00:00:00"/>
    <s v="Refund"/>
    <s v="V1099"/>
    <x v="3"/>
    <x v="8"/>
    <n v="50"/>
    <n v="2030"/>
    <n v="101500"/>
  </r>
  <r>
    <d v="2026-07-09T00:00:00"/>
    <s v="Sale"/>
    <s v="V1100"/>
    <x v="4"/>
    <x v="9"/>
    <n v="75"/>
    <n v="1740"/>
    <n v="130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9E098C-4239-4E97-9013-29CB44E1154E}" name="PivotTable1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outline="1" outlineData="1" compactData="0" multipleFieldFilters="0">
  <location ref="K25:O51" firstHeaderRow="0" firstDataRow="1" firstDataCol="2"/>
  <pivotFields count="8">
    <pivotField compact="0" numFmtId="14" showAll="0"/>
    <pivotField compact="0" showAll="0"/>
    <pivotField compact="0" showAll="0"/>
    <pivotField axis="axisRow" compact="0" showAll="0">
      <items count="6">
        <item x="0"/>
        <item x="2"/>
        <item x="4"/>
        <item x="3"/>
        <item x="1"/>
        <item t="default"/>
      </items>
    </pivotField>
    <pivotField axis="axisRow" compact="0" showAll="0">
      <items count="21">
        <item x="7"/>
        <item x="18"/>
        <item x="6"/>
        <item x="16"/>
        <item x="2"/>
        <item x="17"/>
        <item x="5"/>
        <item x="10"/>
        <item x="12"/>
        <item x="19"/>
        <item x="9"/>
        <item x="13"/>
        <item x="15"/>
        <item x="0"/>
        <item x="14"/>
        <item x="8"/>
        <item x="1"/>
        <item x="4"/>
        <item x="3"/>
        <item x="11"/>
        <item t="default"/>
      </items>
    </pivotField>
    <pivotField dataField="1" compact="0" showAll="0"/>
    <pivotField dataField="1" compact="0" showAll="0"/>
    <pivotField dataField="1" compact="0" showAll="0"/>
  </pivotFields>
  <rowFields count="2">
    <field x="3"/>
    <field x="4"/>
  </rowFields>
  <rowItems count="26">
    <i>
      <x/>
    </i>
    <i r="1">
      <x v="6"/>
    </i>
    <i r="1">
      <x v="7"/>
    </i>
    <i r="1">
      <x v="12"/>
    </i>
    <i r="1">
      <x v="13"/>
    </i>
    <i>
      <x v="1"/>
    </i>
    <i r="1">
      <x/>
    </i>
    <i r="1">
      <x v="4"/>
    </i>
    <i r="1">
      <x v="5"/>
    </i>
    <i r="1">
      <x v="8"/>
    </i>
    <i>
      <x v="2"/>
    </i>
    <i r="1">
      <x v="9"/>
    </i>
    <i r="1">
      <x v="10"/>
    </i>
    <i r="1">
      <x v="14"/>
    </i>
    <i r="1">
      <x v="17"/>
    </i>
    <i>
      <x v="3"/>
    </i>
    <i r="1">
      <x v="1"/>
    </i>
    <i r="1">
      <x v="11"/>
    </i>
    <i r="1">
      <x v="15"/>
    </i>
    <i r="1">
      <x v="18"/>
    </i>
    <i>
      <x v="4"/>
    </i>
    <i r="1">
      <x v="2"/>
    </i>
    <i r="1">
      <x v="3"/>
    </i>
    <i r="1">
      <x v="16"/>
    </i>
    <i r="1"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Quantity" fld="5" baseField="0" baseItem="0"/>
    <dataField name="Sum of unit cost" fld="6" baseField="0" baseItem="0"/>
    <dataField name="Sum of TotalCost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7686AE-FB3D-4414-9BDA-27B5FDFB51F5}" name="Table1" displayName="Table1" ref="A1:H10" totalsRowShown="0" headerRowDxfId="21" dataDxfId="20">
  <autoFilter ref="A1:H10" xr:uid="{127686AE-FB3D-4414-9BDA-27B5FDFB51F5}"/>
  <tableColumns count="8">
    <tableColumn id="1" xr3:uid="{F8800CA6-597D-402E-AEA8-253657EDC68D}" name="EmployeeID" dataDxfId="19"/>
    <tableColumn id="2" xr3:uid="{F9ABF96C-F3A3-411D-B2DD-8F3E2FD8CD13}" name="Name" dataDxfId="18"/>
    <tableColumn id="3" xr3:uid="{5CCB0677-DF56-4BBA-92BE-E900D9C3C891}" name="Department" dataDxfId="17"/>
    <tableColumn id="4" xr3:uid="{300AE647-5F21-4E2B-8B39-204B8A3DBB32}" name="Region" dataDxfId="16"/>
    <tableColumn id="5" xr3:uid="{D8E67812-2306-4712-AE1B-49B3647A97F7}" name="Salary" dataDxfId="15"/>
    <tableColumn id="6" xr3:uid="{53EA9AA9-7033-4D78-966A-2CF611C74AE6}" name="JoinDate" dataDxfId="14"/>
    <tableColumn id="7" xr3:uid="{B366A26E-F5CB-4A54-AFF9-8084743A8877}" name="PerformanceScore" dataDxfId="13"/>
    <tableColumn id="8" xr3:uid="{96F9D5E0-E4C9-4733-B1DC-A028388114CC}" name="Performance_%" dataDxfId="12" dataCellStyle="Percent">
      <calculatedColumnFormula>G2/100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249355-69F5-41C5-89F0-E1B4659AEE6B}" name="Table1" displayName="Table1_1" ref="A1:H10" totalsRowShown="0" headerRowDxfId="11" dataDxfId="10">
  <autoFilter ref="A1:H10" xr:uid="{AA249355-69F5-41C5-89F0-E1B4659AEE6B}"/>
  <tableColumns count="8">
    <tableColumn id="1" xr3:uid="{E6AF9A27-B58D-46AD-BFB9-527D15818CE0}" name="EmployeeID" dataDxfId="9"/>
    <tableColumn id="2" xr3:uid="{B7DF79C4-D919-4CC4-924F-EC14C8BC040A}" name="Name" dataDxfId="8"/>
    <tableColumn id="3" xr3:uid="{D1AE8BA0-5BCC-4AA9-BE39-E03AF929CCFA}" name="Department" dataDxfId="7"/>
    <tableColumn id="4" xr3:uid="{4CDDB1A7-1A21-45D6-AA99-F5184CB1023C}" name="Region" dataDxfId="6"/>
    <tableColumn id="5" xr3:uid="{2C364B97-E24C-41C9-9B5D-47C41239A163}" name="Salary" dataDxfId="5"/>
    <tableColumn id="6" xr3:uid="{B45E224F-FA32-4763-8EEA-BE49A7676527}" name="JoinDate" dataDxfId="4"/>
    <tableColumn id="7" xr3:uid="{F5A0699D-E75B-4926-B94F-89618179A74C}" name="PerformanceScore" dataDxfId="3"/>
    <tableColumn id="8" xr3:uid="{EF983ECA-BA76-4D9C-8EC6-B091C424FD08}" name="Performance_%" dataDxfId="2" dataCellStyle="Percent">
      <calculatedColumnFormula>G2/100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F35271-7B75-45DF-8E91-6565D654AB48}" name="Table3" displayName="Table3" ref="A1:H71" totalsRowShown="0">
  <tableColumns count="8">
    <tableColumn id="1" xr3:uid="{65C396E6-320A-48F7-A713-57A494F80954}" name="Date" dataDxfId="1"/>
    <tableColumn id="2" xr3:uid="{791A6CAF-8E8E-4C69-B373-DC590AFCB1A3}" name="V_type"/>
    <tableColumn id="3" xr3:uid="{526A6BF9-9C84-4290-81E9-8759C86D0D7F}" name="Voucher no"/>
    <tableColumn id="4" xr3:uid="{7D6F89FC-E30F-4473-9D8D-E3C889FB40BA}" name="State"/>
    <tableColumn id="5" xr3:uid="{1C115634-6FF3-4454-A888-FEB44DA5944C}" name="Courses"/>
    <tableColumn id="6" xr3:uid="{AEC7CC8F-2E65-473A-BC82-FC5136FA1977}" name="Quantity"/>
    <tableColumn id="7" xr3:uid="{F4761DBF-0A4D-414D-A526-EA9DEAE6176F}" name="unit cost"/>
    <tableColumn id="8" xr3:uid="{F8D7807C-CFCE-47DF-A5E2-0DFF7303B4AA}" name="TotalCost">
      <calculatedColumnFormula>F2*G2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C12C39-65DA-40CE-80B9-AE7B8861D4EC}" name="Table4" displayName="Table4" ref="K1:M21" totalsRowShown="0">
  <tableColumns count="3">
    <tableColumn id="1" xr3:uid="{AB40C10E-B487-455F-BDF5-5F2C97FBBC48}" name="Courses"/>
    <tableColumn id="2" xr3:uid="{64F1CB97-FF10-42E5-BC65-9C4ADA715482}" name="count of quantity">
      <calculatedColumnFormula>COUNTIF(E:E,K2)</calculatedColumnFormula>
    </tableColumn>
    <tableColumn id="3" xr3:uid="{046E09C4-ED57-42AB-AE83-2F3B02CF5648}" name="Total unit cost">
      <calculatedColumnFormula>SUMIF(E:E,K2,H:H)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1746FF5-4FE3-421D-B19C-3756141D56A6}" name="Table36" displayName="Table36" ref="A1:H71" totalsRowShown="0" headerRowDxfId="0">
  <tableColumns count="8">
    <tableColumn id="1" xr3:uid="{2878B171-B774-4A3E-852D-B6A67DBD62A4}" name="Date"/>
    <tableColumn id="2" xr3:uid="{E92EC5D7-83D0-4194-94D6-FAC7949916BD}" name="V_type"/>
    <tableColumn id="3" xr3:uid="{DD0AA917-B215-4186-911E-CA49F5B760DF}" name="Voucher no"/>
    <tableColumn id="4" xr3:uid="{8DA3899B-C41D-4E00-B4BA-A30FB5DEF763}" name="State"/>
    <tableColumn id="5" xr3:uid="{05A747B5-3343-4E9B-9652-01137B145414}" name="Courses"/>
    <tableColumn id="6" xr3:uid="{9939F5C8-1B05-48EF-A983-60DDCAAE9681}" name="Quantity"/>
    <tableColumn id="7" xr3:uid="{B7147B2C-354B-4484-B501-31C7FBE023F0}" name="unit cost"/>
    <tableColumn id="8" xr3:uid="{5B206EB1-F4D9-4C2E-BBAF-17CAC0F1ADFD}" name="TotalCost">
      <calculatedColumnFormula>F2*G2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1C902-3EFD-401D-A331-E5771381579A}">
  <sheetPr codeName="Sheet1"/>
  <dimension ref="A1:H10"/>
  <sheetViews>
    <sheetView workbookViewId="0">
      <selection sqref="A1:H10"/>
    </sheetView>
  </sheetViews>
  <sheetFormatPr defaultRowHeight="14.4" x14ac:dyDescent="0.3"/>
  <cols>
    <col min="1" max="7" width="20.77734375" customWidth="1"/>
    <col min="8" max="8" width="16.77734375" customWidth="1"/>
  </cols>
  <sheetData>
    <row r="1" spans="1:8" ht="27.6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47</v>
      </c>
    </row>
    <row r="2" spans="1:8" ht="28.8" x14ac:dyDescent="0.3">
      <c r="A2" s="1" t="s">
        <v>7</v>
      </c>
      <c r="B2" s="1" t="s">
        <v>8</v>
      </c>
      <c r="C2" s="1" t="s">
        <v>9</v>
      </c>
      <c r="D2" s="1" t="s">
        <v>10</v>
      </c>
      <c r="E2" s="1">
        <v>55000</v>
      </c>
      <c r="F2" s="3">
        <v>44270</v>
      </c>
      <c r="G2" s="1">
        <v>88</v>
      </c>
      <c r="H2" s="6">
        <f>G2/100</f>
        <v>0.88</v>
      </c>
    </row>
    <row r="3" spans="1:8" ht="28.8" x14ac:dyDescent="0.3">
      <c r="A3" s="1" t="s">
        <v>11</v>
      </c>
      <c r="B3" s="1" t="s">
        <v>12</v>
      </c>
      <c r="C3" s="1" t="s">
        <v>13</v>
      </c>
      <c r="D3" s="1" t="s">
        <v>14</v>
      </c>
      <c r="E3" s="1">
        <v>48000</v>
      </c>
      <c r="F3" s="3">
        <v>44022</v>
      </c>
      <c r="G3" s="1">
        <v>91</v>
      </c>
      <c r="H3" s="6">
        <f t="shared" ref="H3:H10" si="0">G3/100</f>
        <v>0.91</v>
      </c>
    </row>
    <row r="4" spans="1:8" x14ac:dyDescent="0.3">
      <c r="A4" s="1" t="s">
        <v>15</v>
      </c>
      <c r="B4" s="1" t="s">
        <v>16</v>
      </c>
      <c r="C4" s="1" t="s">
        <v>17</v>
      </c>
      <c r="D4" s="1" t="s">
        <v>18</v>
      </c>
      <c r="E4" s="1">
        <v>72000</v>
      </c>
      <c r="F4" s="3">
        <v>43794</v>
      </c>
      <c r="G4" s="1">
        <v>85</v>
      </c>
      <c r="H4" s="6">
        <f t="shared" si="0"/>
        <v>0.85</v>
      </c>
    </row>
    <row r="5" spans="1:8" ht="28.8" x14ac:dyDescent="0.3">
      <c r="A5" s="1" t="s">
        <v>19</v>
      </c>
      <c r="B5" s="1" t="s">
        <v>20</v>
      </c>
      <c r="C5" s="1" t="s">
        <v>21</v>
      </c>
      <c r="D5" s="1" t="s">
        <v>22</v>
      </c>
      <c r="E5" s="1">
        <v>65000</v>
      </c>
      <c r="F5" s="3">
        <v>44566</v>
      </c>
      <c r="G5" s="1">
        <v>79</v>
      </c>
      <c r="H5" s="6">
        <f t="shared" si="0"/>
        <v>0.79</v>
      </c>
    </row>
    <row r="6" spans="1:8" ht="28.8" x14ac:dyDescent="0.3">
      <c r="A6" s="1" t="s">
        <v>23</v>
      </c>
      <c r="B6" s="1" t="s">
        <v>24</v>
      </c>
      <c r="C6" s="1" t="s">
        <v>9</v>
      </c>
      <c r="D6" s="1" t="s">
        <v>14</v>
      </c>
      <c r="E6" s="1">
        <v>53000</v>
      </c>
      <c r="F6" s="3">
        <v>44365</v>
      </c>
      <c r="G6" s="1">
        <v>92</v>
      </c>
      <c r="H6" s="6">
        <f t="shared" si="0"/>
        <v>0.92</v>
      </c>
    </row>
    <row r="7" spans="1:8" ht="28.8" x14ac:dyDescent="0.3">
      <c r="A7" s="1" t="s">
        <v>25</v>
      </c>
      <c r="B7" s="1" t="s">
        <v>26</v>
      </c>
      <c r="C7" s="1" t="s">
        <v>17</v>
      </c>
      <c r="D7" s="1" t="s">
        <v>10</v>
      </c>
      <c r="E7" s="1">
        <v>70000</v>
      </c>
      <c r="F7" s="3">
        <v>43355</v>
      </c>
      <c r="G7" s="1">
        <v>87</v>
      </c>
      <c r="H7" s="6">
        <f t="shared" si="0"/>
        <v>0.87</v>
      </c>
    </row>
    <row r="8" spans="1:8" ht="28.8" x14ac:dyDescent="0.3">
      <c r="A8" s="1" t="s">
        <v>27</v>
      </c>
      <c r="B8" s="1" t="s">
        <v>28</v>
      </c>
      <c r="C8" s="1" t="s">
        <v>13</v>
      </c>
      <c r="D8" s="1" t="s">
        <v>18</v>
      </c>
      <c r="E8" s="1">
        <v>46000</v>
      </c>
      <c r="F8" s="3">
        <v>44671</v>
      </c>
      <c r="G8" s="1">
        <v>84</v>
      </c>
      <c r="H8" s="6">
        <f t="shared" si="0"/>
        <v>0.84</v>
      </c>
    </row>
    <row r="9" spans="1:8" ht="28.8" x14ac:dyDescent="0.3">
      <c r="A9" s="1" t="s">
        <v>29</v>
      </c>
      <c r="B9" s="1" t="s">
        <v>30</v>
      </c>
      <c r="C9" s="1" t="s">
        <v>21</v>
      </c>
      <c r="D9" s="1" t="s">
        <v>22</v>
      </c>
      <c r="E9" s="1">
        <v>67000</v>
      </c>
      <c r="F9" s="3">
        <v>43510</v>
      </c>
      <c r="G9" s="1">
        <v>90</v>
      </c>
      <c r="H9" s="6">
        <f t="shared" si="0"/>
        <v>0.9</v>
      </c>
    </row>
    <row r="10" spans="1:8" x14ac:dyDescent="0.3">
      <c r="E10">
        <f>SUM(E2:E9)</f>
        <v>476000</v>
      </c>
      <c r="G10">
        <f>SUM(G2:G9)</f>
        <v>696</v>
      </c>
      <c r="H10" s="6">
        <f t="shared" si="0"/>
        <v>6.96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F939E-0965-486E-8FE0-DBFC6F866BB8}">
  <sheetPr codeName="Sheet2"/>
  <dimension ref="A1:H10"/>
  <sheetViews>
    <sheetView topLeftCell="B1" workbookViewId="0">
      <selection activeCell="J4" sqref="J4"/>
    </sheetView>
  </sheetViews>
  <sheetFormatPr defaultRowHeight="14.4" x14ac:dyDescent="0.3"/>
  <cols>
    <col min="1" max="7" width="20.77734375" customWidth="1"/>
    <col min="8" max="8" width="16.21875" customWidth="1"/>
  </cols>
  <sheetData>
    <row r="1" spans="1:8" ht="28.8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7" t="s">
        <v>47</v>
      </c>
    </row>
    <row r="2" spans="1:8" ht="28.8" x14ac:dyDescent="0.3">
      <c r="A2" s="1" t="s">
        <v>31</v>
      </c>
      <c r="B2" s="1" t="s">
        <v>32</v>
      </c>
      <c r="C2" s="1" t="s">
        <v>9</v>
      </c>
      <c r="D2" s="1" t="s">
        <v>10</v>
      </c>
      <c r="E2" s="1">
        <v>56000</v>
      </c>
      <c r="F2" s="3">
        <v>44937</v>
      </c>
      <c r="G2" s="1">
        <v>86</v>
      </c>
      <c r="H2" s="6">
        <f>G2/100</f>
        <v>0.86</v>
      </c>
    </row>
    <row r="3" spans="1:8" x14ac:dyDescent="0.3">
      <c r="A3" s="1" t="s">
        <v>33</v>
      </c>
      <c r="B3" s="1" t="s">
        <v>34</v>
      </c>
      <c r="C3" s="1" t="s">
        <v>13</v>
      </c>
      <c r="D3" s="1" t="s">
        <v>14</v>
      </c>
      <c r="E3" s="10">
        <v>45000</v>
      </c>
      <c r="F3" s="11">
        <v>44499</v>
      </c>
      <c r="G3" s="10">
        <v>89</v>
      </c>
      <c r="H3" s="6">
        <f t="shared" ref="H3:H10" si="0">G3/100</f>
        <v>0.89</v>
      </c>
    </row>
    <row r="4" spans="1:8" ht="28.8" x14ac:dyDescent="0.3">
      <c r="A4" s="1" t="s">
        <v>35</v>
      </c>
      <c r="B4" s="1" t="s">
        <v>36</v>
      </c>
      <c r="C4" s="1" t="s">
        <v>17</v>
      </c>
      <c r="D4" s="1" t="s">
        <v>18</v>
      </c>
      <c r="E4" s="1">
        <v>73000</v>
      </c>
      <c r="F4" s="3">
        <v>43967</v>
      </c>
      <c r="G4" s="1">
        <v>93</v>
      </c>
      <c r="H4" s="6">
        <f t="shared" si="0"/>
        <v>0.93</v>
      </c>
    </row>
    <row r="5" spans="1:8" ht="28.8" x14ac:dyDescent="0.3">
      <c r="A5" s="1" t="s">
        <v>37</v>
      </c>
      <c r="B5" s="1" t="s">
        <v>38</v>
      </c>
      <c r="C5" s="1" t="s">
        <v>21</v>
      </c>
      <c r="D5" s="1" t="s">
        <v>22</v>
      </c>
      <c r="E5" s="1">
        <v>64000</v>
      </c>
      <c r="F5" s="3">
        <v>43808</v>
      </c>
      <c r="G5" s="1">
        <v>78</v>
      </c>
      <c r="H5" s="6">
        <f t="shared" si="0"/>
        <v>0.78</v>
      </c>
    </row>
    <row r="6" spans="1:8" ht="28.8" x14ac:dyDescent="0.3">
      <c r="A6" s="1" t="s">
        <v>39</v>
      </c>
      <c r="B6" s="1" t="s">
        <v>40</v>
      </c>
      <c r="C6" s="1" t="s">
        <v>9</v>
      </c>
      <c r="D6" s="1" t="s">
        <v>14</v>
      </c>
      <c r="E6" s="1">
        <v>54000</v>
      </c>
      <c r="F6" s="3">
        <v>44642</v>
      </c>
      <c r="G6" s="1">
        <v>88</v>
      </c>
      <c r="H6" s="6">
        <f t="shared" si="0"/>
        <v>0.88</v>
      </c>
    </row>
    <row r="7" spans="1:8" ht="28.8" x14ac:dyDescent="0.3">
      <c r="A7" s="1" t="s">
        <v>41</v>
      </c>
      <c r="B7" s="1" t="s">
        <v>42</v>
      </c>
      <c r="C7" s="1" t="s">
        <v>17</v>
      </c>
      <c r="D7" s="1" t="s">
        <v>10</v>
      </c>
      <c r="E7" s="1">
        <v>71000</v>
      </c>
      <c r="F7" s="3">
        <v>44411</v>
      </c>
      <c r="G7" s="1">
        <v>90</v>
      </c>
      <c r="H7" s="6">
        <f t="shared" si="0"/>
        <v>0.9</v>
      </c>
    </row>
    <row r="8" spans="1:8" ht="28.8" x14ac:dyDescent="0.3">
      <c r="A8" s="1" t="s">
        <v>43</v>
      </c>
      <c r="B8" s="1" t="s">
        <v>44</v>
      </c>
      <c r="C8" s="1" t="s">
        <v>13</v>
      </c>
      <c r="D8" s="1" t="s">
        <v>18</v>
      </c>
      <c r="E8" s="1">
        <v>47000</v>
      </c>
      <c r="F8" s="3">
        <v>44974</v>
      </c>
      <c r="G8" s="1">
        <v>82</v>
      </c>
      <c r="H8" s="6">
        <f t="shared" si="0"/>
        <v>0.82</v>
      </c>
    </row>
    <row r="9" spans="1:8" ht="28.8" x14ac:dyDescent="0.3">
      <c r="A9" s="1" t="s">
        <v>45</v>
      </c>
      <c r="B9" s="1" t="s">
        <v>46</v>
      </c>
      <c r="C9" s="1" t="s">
        <v>21</v>
      </c>
      <c r="D9" s="1" t="s">
        <v>22</v>
      </c>
      <c r="E9" s="1">
        <v>66000</v>
      </c>
      <c r="F9" s="3">
        <v>44007</v>
      </c>
      <c r="G9" s="1">
        <v>91</v>
      </c>
      <c r="H9" s="6">
        <f t="shared" si="0"/>
        <v>0.91</v>
      </c>
    </row>
    <row r="10" spans="1:8" x14ac:dyDescent="0.3">
      <c r="E10">
        <f>SUM(E2:E9)</f>
        <v>476000</v>
      </c>
      <c r="G10">
        <f>SUM(G2:G9)</f>
        <v>697</v>
      </c>
      <c r="H10" s="6">
        <f t="shared" si="0"/>
        <v>6.97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E14C8-DB47-4251-9CDD-7F7E8D723757}">
  <sheetPr codeName="Sheet5"/>
  <dimension ref="A1:O71"/>
  <sheetViews>
    <sheetView topLeftCell="A16" workbookViewId="0">
      <selection activeCell="L1" sqref="L1"/>
    </sheetView>
  </sheetViews>
  <sheetFormatPr defaultRowHeight="14.4" x14ac:dyDescent="0.3"/>
  <cols>
    <col min="1" max="1" width="10.33203125" style="2" bestFit="1" customWidth="1"/>
    <col min="2" max="2" width="8.88671875" customWidth="1"/>
    <col min="3" max="3" width="12.6640625" customWidth="1"/>
    <col min="5" max="5" width="20.109375" bestFit="1" customWidth="1"/>
    <col min="6" max="6" width="10.21875" customWidth="1"/>
    <col min="7" max="7" width="10.109375" customWidth="1"/>
    <col min="8" max="8" width="10.77734375" customWidth="1"/>
    <col min="11" max="11" width="24.21875" bestFit="1" customWidth="1"/>
    <col min="12" max="12" width="20.109375" bestFit="1" customWidth="1"/>
    <col min="13" max="13" width="14.88671875" bestFit="1" customWidth="1"/>
    <col min="14" max="14" width="14.77734375" bestFit="1" customWidth="1"/>
    <col min="15" max="15" width="15.44140625" bestFit="1" customWidth="1"/>
  </cols>
  <sheetData>
    <row r="1" spans="1:13" x14ac:dyDescent="0.3">
      <c r="A1" s="2" t="s">
        <v>48</v>
      </c>
      <c r="B1" t="s">
        <v>50</v>
      </c>
      <c r="C1" t="s">
        <v>51</v>
      </c>
      <c r="D1" t="s">
        <v>52</v>
      </c>
      <c r="E1" t="s">
        <v>53</v>
      </c>
      <c r="F1" t="s">
        <v>54</v>
      </c>
      <c r="G1" t="s">
        <v>153</v>
      </c>
      <c r="H1" t="s">
        <v>152</v>
      </c>
      <c r="K1" t="s">
        <v>53</v>
      </c>
      <c r="L1" t="s">
        <v>158</v>
      </c>
      <c r="M1" t="s">
        <v>159</v>
      </c>
    </row>
    <row r="2" spans="1:13" x14ac:dyDescent="0.3">
      <c r="A2" s="2">
        <v>46143</v>
      </c>
      <c r="B2" t="s">
        <v>55</v>
      </c>
      <c r="C2" t="s">
        <v>82</v>
      </c>
      <c r="D2" t="s">
        <v>56</v>
      </c>
      <c r="E2" t="s">
        <v>76</v>
      </c>
      <c r="F2">
        <v>58</v>
      </c>
      <c r="G2">
        <v>3499</v>
      </c>
      <c r="H2">
        <f>F2*G2</f>
        <v>202942</v>
      </c>
      <c r="K2" t="s">
        <v>76</v>
      </c>
      <c r="L2">
        <f>COUNTIF(E:E,K2)</f>
        <v>4</v>
      </c>
      <c r="M2">
        <f>SUMIF(E:E,K2,H:H)</f>
        <v>898461</v>
      </c>
    </row>
    <row r="3" spans="1:13" x14ac:dyDescent="0.3">
      <c r="A3" s="2">
        <v>46144</v>
      </c>
      <c r="B3" t="s">
        <v>49</v>
      </c>
      <c r="C3" t="s">
        <v>83</v>
      </c>
      <c r="D3" t="s">
        <v>58</v>
      </c>
      <c r="E3" t="s">
        <v>81</v>
      </c>
      <c r="F3">
        <v>63</v>
      </c>
      <c r="G3">
        <v>3764</v>
      </c>
      <c r="H3">
        <f t="shared" ref="H3:H66" si="0">F3*G3</f>
        <v>237132</v>
      </c>
      <c r="K3" t="s">
        <v>81</v>
      </c>
      <c r="L3">
        <f t="shared" ref="L3:L21" si="1">COUNTIF(E:E,K3)</f>
        <v>4</v>
      </c>
      <c r="M3">
        <f t="shared" ref="M3:M21" si="2">SUMIF(E:E,K3,H:H)</f>
        <v>964441</v>
      </c>
    </row>
    <row r="4" spans="1:13" x14ac:dyDescent="0.3">
      <c r="A4" s="2">
        <v>46145</v>
      </c>
      <c r="B4" t="s">
        <v>55</v>
      </c>
      <c r="C4" t="s">
        <v>84</v>
      </c>
      <c r="D4" t="s">
        <v>60</v>
      </c>
      <c r="E4" t="s">
        <v>79</v>
      </c>
      <c r="F4">
        <v>52</v>
      </c>
      <c r="G4">
        <v>2522</v>
      </c>
      <c r="H4">
        <f t="shared" si="0"/>
        <v>131144</v>
      </c>
      <c r="K4" t="s">
        <v>79</v>
      </c>
      <c r="L4">
        <f t="shared" si="1"/>
        <v>4</v>
      </c>
      <c r="M4">
        <f t="shared" si="2"/>
        <v>509712</v>
      </c>
    </row>
    <row r="5" spans="1:13" x14ac:dyDescent="0.3">
      <c r="A5" s="2">
        <v>46146</v>
      </c>
      <c r="B5" t="s">
        <v>62</v>
      </c>
      <c r="C5" t="s">
        <v>85</v>
      </c>
      <c r="D5" t="s">
        <v>63</v>
      </c>
      <c r="E5" t="s">
        <v>75</v>
      </c>
      <c r="F5">
        <v>102</v>
      </c>
      <c r="G5">
        <v>1638</v>
      </c>
      <c r="H5">
        <f t="shared" si="0"/>
        <v>167076</v>
      </c>
      <c r="K5" t="s">
        <v>75</v>
      </c>
      <c r="L5">
        <f t="shared" si="1"/>
        <v>4</v>
      </c>
      <c r="M5">
        <f t="shared" si="2"/>
        <v>978468</v>
      </c>
    </row>
    <row r="6" spans="1:13" x14ac:dyDescent="0.3">
      <c r="A6" s="2">
        <v>46147</v>
      </c>
      <c r="B6" t="s">
        <v>55</v>
      </c>
      <c r="C6" t="s">
        <v>86</v>
      </c>
      <c r="D6" t="s">
        <v>65</v>
      </c>
      <c r="E6" t="s">
        <v>77</v>
      </c>
      <c r="F6">
        <v>69</v>
      </c>
      <c r="G6">
        <v>5054</v>
      </c>
      <c r="H6">
        <f t="shared" si="0"/>
        <v>348726</v>
      </c>
      <c r="K6" t="s">
        <v>77</v>
      </c>
      <c r="L6">
        <f t="shared" si="1"/>
        <v>4</v>
      </c>
      <c r="M6">
        <f t="shared" si="2"/>
        <v>882114</v>
      </c>
    </row>
    <row r="7" spans="1:13" x14ac:dyDescent="0.3">
      <c r="A7" s="2">
        <v>46148</v>
      </c>
      <c r="B7" t="s">
        <v>49</v>
      </c>
      <c r="C7" t="s">
        <v>87</v>
      </c>
      <c r="D7" t="s">
        <v>56</v>
      </c>
      <c r="E7" t="s">
        <v>72</v>
      </c>
      <c r="F7">
        <v>89</v>
      </c>
      <c r="G7">
        <v>4659</v>
      </c>
      <c r="H7">
        <f t="shared" si="0"/>
        <v>414651</v>
      </c>
      <c r="K7" t="s">
        <v>72</v>
      </c>
      <c r="L7">
        <f t="shared" si="1"/>
        <v>4</v>
      </c>
      <c r="M7">
        <f t="shared" si="2"/>
        <v>1220308</v>
      </c>
    </row>
    <row r="8" spans="1:13" x14ac:dyDescent="0.3">
      <c r="A8" s="2">
        <v>46149</v>
      </c>
      <c r="B8" t="s">
        <v>55</v>
      </c>
      <c r="C8" t="s">
        <v>88</v>
      </c>
      <c r="D8" t="s">
        <v>58</v>
      </c>
      <c r="E8" t="s">
        <v>78</v>
      </c>
      <c r="F8">
        <v>73</v>
      </c>
      <c r="G8">
        <v>4510</v>
      </c>
      <c r="H8">
        <f t="shared" si="0"/>
        <v>329230</v>
      </c>
      <c r="K8" t="s">
        <v>78</v>
      </c>
      <c r="L8">
        <f t="shared" si="1"/>
        <v>4</v>
      </c>
      <c r="M8">
        <f t="shared" si="2"/>
        <v>1001925</v>
      </c>
    </row>
    <row r="9" spans="1:13" x14ac:dyDescent="0.3">
      <c r="A9" s="2">
        <v>46150</v>
      </c>
      <c r="B9" t="s">
        <v>55</v>
      </c>
      <c r="C9" t="s">
        <v>89</v>
      </c>
      <c r="D9" t="s">
        <v>60</v>
      </c>
      <c r="E9" t="s">
        <v>80</v>
      </c>
      <c r="F9">
        <v>67</v>
      </c>
      <c r="G9">
        <v>5456</v>
      </c>
      <c r="H9">
        <f t="shared" si="0"/>
        <v>365552</v>
      </c>
      <c r="K9" t="s">
        <v>80</v>
      </c>
      <c r="L9">
        <f t="shared" si="1"/>
        <v>4</v>
      </c>
      <c r="M9">
        <f t="shared" si="2"/>
        <v>869134</v>
      </c>
    </row>
    <row r="10" spans="1:13" x14ac:dyDescent="0.3">
      <c r="A10" s="2">
        <v>46151</v>
      </c>
      <c r="B10" t="s">
        <v>62</v>
      </c>
      <c r="C10" t="s">
        <v>90</v>
      </c>
      <c r="D10" t="s">
        <v>63</v>
      </c>
      <c r="E10" t="s">
        <v>74</v>
      </c>
      <c r="F10">
        <v>55</v>
      </c>
      <c r="G10">
        <v>4672</v>
      </c>
      <c r="H10">
        <f t="shared" si="0"/>
        <v>256960</v>
      </c>
      <c r="K10" t="s">
        <v>74</v>
      </c>
      <c r="L10">
        <f t="shared" si="1"/>
        <v>4</v>
      </c>
      <c r="M10">
        <f t="shared" si="2"/>
        <v>700428</v>
      </c>
    </row>
    <row r="11" spans="1:13" x14ac:dyDescent="0.3">
      <c r="A11" s="2">
        <v>46152</v>
      </c>
      <c r="B11" t="s">
        <v>55</v>
      </c>
      <c r="C11" t="s">
        <v>91</v>
      </c>
      <c r="D11" t="s">
        <v>65</v>
      </c>
      <c r="E11" t="s">
        <v>73</v>
      </c>
      <c r="F11">
        <v>102</v>
      </c>
      <c r="G11">
        <v>3299</v>
      </c>
      <c r="H11">
        <f t="shared" si="0"/>
        <v>336498</v>
      </c>
      <c r="K11" t="s">
        <v>73</v>
      </c>
      <c r="L11">
        <f t="shared" si="1"/>
        <v>4</v>
      </c>
      <c r="M11">
        <f t="shared" si="2"/>
        <v>906362</v>
      </c>
    </row>
    <row r="12" spans="1:13" x14ac:dyDescent="0.3">
      <c r="A12" s="2">
        <v>46153</v>
      </c>
      <c r="B12" t="s">
        <v>55</v>
      </c>
      <c r="C12" t="s">
        <v>92</v>
      </c>
      <c r="D12" t="s">
        <v>56</v>
      </c>
      <c r="E12" t="s">
        <v>57</v>
      </c>
      <c r="F12">
        <v>74</v>
      </c>
      <c r="G12">
        <v>2619</v>
      </c>
      <c r="H12">
        <f t="shared" si="0"/>
        <v>193806</v>
      </c>
      <c r="K12" t="s">
        <v>57</v>
      </c>
      <c r="L12">
        <f t="shared" si="1"/>
        <v>3</v>
      </c>
      <c r="M12">
        <f t="shared" si="2"/>
        <v>843726</v>
      </c>
    </row>
    <row r="13" spans="1:13" x14ac:dyDescent="0.3">
      <c r="A13" s="2">
        <v>46154</v>
      </c>
      <c r="B13" t="s">
        <v>49</v>
      </c>
      <c r="C13" t="s">
        <v>93</v>
      </c>
      <c r="D13" t="s">
        <v>58</v>
      </c>
      <c r="E13" t="s">
        <v>59</v>
      </c>
      <c r="F13">
        <v>69</v>
      </c>
      <c r="G13">
        <v>3620</v>
      </c>
      <c r="H13">
        <f t="shared" si="0"/>
        <v>249780</v>
      </c>
      <c r="K13" t="s">
        <v>59</v>
      </c>
      <c r="L13">
        <f t="shared" si="1"/>
        <v>3</v>
      </c>
      <c r="M13">
        <f t="shared" si="2"/>
        <v>549982</v>
      </c>
    </row>
    <row r="14" spans="1:13" x14ac:dyDescent="0.3">
      <c r="A14" s="2">
        <v>46155</v>
      </c>
      <c r="B14" t="s">
        <v>55</v>
      </c>
      <c r="C14" t="s">
        <v>94</v>
      </c>
      <c r="D14" t="s">
        <v>60</v>
      </c>
      <c r="E14" t="s">
        <v>61</v>
      </c>
      <c r="F14">
        <v>80</v>
      </c>
      <c r="G14">
        <v>3906</v>
      </c>
      <c r="H14">
        <f t="shared" si="0"/>
        <v>312480</v>
      </c>
      <c r="K14" t="s">
        <v>61</v>
      </c>
      <c r="L14">
        <f t="shared" si="1"/>
        <v>3</v>
      </c>
      <c r="M14">
        <f t="shared" si="2"/>
        <v>876140</v>
      </c>
    </row>
    <row r="15" spans="1:13" x14ac:dyDescent="0.3">
      <c r="A15" s="2">
        <v>46156</v>
      </c>
      <c r="B15" t="s">
        <v>62</v>
      </c>
      <c r="C15" t="s">
        <v>95</v>
      </c>
      <c r="D15" t="s">
        <v>63</v>
      </c>
      <c r="E15" t="s">
        <v>64</v>
      </c>
      <c r="F15">
        <v>85</v>
      </c>
      <c r="G15">
        <v>2813</v>
      </c>
      <c r="H15">
        <f t="shared" si="0"/>
        <v>239105</v>
      </c>
      <c r="K15" t="s">
        <v>64</v>
      </c>
      <c r="L15">
        <f t="shared" si="1"/>
        <v>3</v>
      </c>
      <c r="M15">
        <f t="shared" si="2"/>
        <v>781341</v>
      </c>
    </row>
    <row r="16" spans="1:13" x14ac:dyDescent="0.3">
      <c r="A16" s="2">
        <v>46157</v>
      </c>
      <c r="B16" t="s">
        <v>55</v>
      </c>
      <c r="C16" t="s">
        <v>96</v>
      </c>
      <c r="D16" t="s">
        <v>65</v>
      </c>
      <c r="E16" t="s">
        <v>66</v>
      </c>
      <c r="F16">
        <v>75</v>
      </c>
      <c r="G16">
        <v>1778</v>
      </c>
      <c r="H16">
        <f t="shared" si="0"/>
        <v>133350</v>
      </c>
      <c r="K16" t="s">
        <v>66</v>
      </c>
      <c r="L16">
        <f t="shared" si="1"/>
        <v>3</v>
      </c>
      <c r="M16">
        <f t="shared" si="2"/>
        <v>629015</v>
      </c>
    </row>
    <row r="17" spans="1:15" x14ac:dyDescent="0.3">
      <c r="A17" s="2">
        <v>46158</v>
      </c>
      <c r="B17" t="s">
        <v>49</v>
      </c>
      <c r="C17" t="s">
        <v>97</v>
      </c>
      <c r="D17" t="s">
        <v>56</v>
      </c>
      <c r="E17" t="s">
        <v>67</v>
      </c>
      <c r="F17">
        <v>79</v>
      </c>
      <c r="G17">
        <v>4036</v>
      </c>
      <c r="H17">
        <f t="shared" si="0"/>
        <v>318844</v>
      </c>
      <c r="K17" t="s">
        <v>67</v>
      </c>
      <c r="L17">
        <f t="shared" si="1"/>
        <v>3</v>
      </c>
      <c r="M17">
        <f t="shared" si="2"/>
        <v>629838</v>
      </c>
    </row>
    <row r="18" spans="1:15" x14ac:dyDescent="0.3">
      <c r="A18" s="2">
        <v>46159</v>
      </c>
      <c r="B18" t="s">
        <v>55</v>
      </c>
      <c r="C18" t="s">
        <v>98</v>
      </c>
      <c r="D18" t="s">
        <v>58</v>
      </c>
      <c r="E18" t="s">
        <v>68</v>
      </c>
      <c r="F18">
        <v>52</v>
      </c>
      <c r="G18">
        <v>3460</v>
      </c>
      <c r="H18">
        <f t="shared" si="0"/>
        <v>179920</v>
      </c>
      <c r="K18" t="s">
        <v>68</v>
      </c>
      <c r="L18">
        <f t="shared" si="1"/>
        <v>3</v>
      </c>
      <c r="M18">
        <f t="shared" si="2"/>
        <v>941517</v>
      </c>
    </row>
    <row r="19" spans="1:15" x14ac:dyDescent="0.3">
      <c r="A19" s="2">
        <v>46160</v>
      </c>
      <c r="B19" t="s">
        <v>55</v>
      </c>
      <c r="C19" t="s">
        <v>99</v>
      </c>
      <c r="D19" t="s">
        <v>60</v>
      </c>
      <c r="E19" t="s">
        <v>69</v>
      </c>
      <c r="F19">
        <v>84</v>
      </c>
      <c r="G19">
        <v>4849</v>
      </c>
      <c r="H19">
        <f t="shared" si="0"/>
        <v>407316</v>
      </c>
      <c r="K19" t="s">
        <v>69</v>
      </c>
      <c r="L19">
        <f t="shared" si="1"/>
        <v>3</v>
      </c>
      <c r="M19">
        <f t="shared" si="2"/>
        <v>901679</v>
      </c>
    </row>
    <row r="20" spans="1:15" x14ac:dyDescent="0.3">
      <c r="A20" s="2">
        <v>46161</v>
      </c>
      <c r="B20" t="s">
        <v>62</v>
      </c>
      <c r="C20" t="s">
        <v>100</v>
      </c>
      <c r="D20" t="s">
        <v>63</v>
      </c>
      <c r="E20" t="s">
        <v>70</v>
      </c>
      <c r="F20">
        <v>83</v>
      </c>
      <c r="G20">
        <v>2636</v>
      </c>
      <c r="H20">
        <f t="shared" si="0"/>
        <v>218788</v>
      </c>
      <c r="K20" t="s">
        <v>70</v>
      </c>
      <c r="L20">
        <f t="shared" si="1"/>
        <v>3</v>
      </c>
      <c r="M20">
        <f t="shared" si="2"/>
        <v>598788</v>
      </c>
    </row>
    <row r="21" spans="1:15" x14ac:dyDescent="0.3">
      <c r="A21" s="2">
        <v>46162</v>
      </c>
      <c r="B21" t="s">
        <v>55</v>
      </c>
      <c r="C21" t="s">
        <v>101</v>
      </c>
      <c r="D21" t="s">
        <v>65</v>
      </c>
      <c r="E21" t="s">
        <v>71</v>
      </c>
      <c r="F21">
        <v>86</v>
      </c>
      <c r="G21">
        <v>3371</v>
      </c>
      <c r="H21">
        <f t="shared" si="0"/>
        <v>289906</v>
      </c>
      <c r="K21" t="s">
        <v>71</v>
      </c>
      <c r="L21">
        <f t="shared" si="1"/>
        <v>3</v>
      </c>
      <c r="M21">
        <f t="shared" si="2"/>
        <v>827586</v>
      </c>
    </row>
    <row r="22" spans="1:15" x14ac:dyDescent="0.3">
      <c r="A22" s="2">
        <v>46163</v>
      </c>
      <c r="B22" t="s">
        <v>55</v>
      </c>
      <c r="C22" t="s">
        <v>102</v>
      </c>
      <c r="D22" t="s">
        <v>56</v>
      </c>
      <c r="E22" t="s">
        <v>76</v>
      </c>
      <c r="F22">
        <v>58</v>
      </c>
      <c r="G22">
        <v>3640</v>
      </c>
      <c r="H22">
        <f t="shared" si="0"/>
        <v>211120</v>
      </c>
    </row>
    <row r="23" spans="1:15" x14ac:dyDescent="0.3">
      <c r="A23" s="2">
        <v>46164</v>
      </c>
      <c r="B23" t="s">
        <v>49</v>
      </c>
      <c r="C23" t="s">
        <v>103</v>
      </c>
      <c r="D23" t="s">
        <v>58</v>
      </c>
      <c r="E23" t="s">
        <v>81</v>
      </c>
      <c r="F23">
        <v>93</v>
      </c>
      <c r="G23">
        <v>4102</v>
      </c>
      <c r="H23">
        <f t="shared" si="0"/>
        <v>381486</v>
      </c>
    </row>
    <row r="24" spans="1:15" x14ac:dyDescent="0.3">
      <c r="A24" s="2">
        <v>46165</v>
      </c>
      <c r="B24" t="s">
        <v>55</v>
      </c>
      <c r="C24" t="s">
        <v>104</v>
      </c>
      <c r="D24" t="s">
        <v>60</v>
      </c>
      <c r="E24" t="s">
        <v>79</v>
      </c>
      <c r="F24">
        <v>65</v>
      </c>
      <c r="G24">
        <v>2083</v>
      </c>
      <c r="H24">
        <f t="shared" si="0"/>
        <v>135395</v>
      </c>
    </row>
    <row r="25" spans="1:15" x14ac:dyDescent="0.3">
      <c r="A25" s="2">
        <v>46166</v>
      </c>
      <c r="B25" t="s">
        <v>62</v>
      </c>
      <c r="C25" t="s">
        <v>105</v>
      </c>
      <c r="D25" t="s">
        <v>63</v>
      </c>
      <c r="E25" t="s">
        <v>75</v>
      </c>
      <c r="F25">
        <v>89</v>
      </c>
      <c r="G25">
        <v>4932</v>
      </c>
      <c r="H25">
        <f t="shared" si="0"/>
        <v>438948</v>
      </c>
      <c r="K25" s="8" t="s">
        <v>52</v>
      </c>
      <c r="L25" s="8" t="s">
        <v>53</v>
      </c>
      <c r="M25" t="s">
        <v>154</v>
      </c>
      <c r="N25" t="s">
        <v>155</v>
      </c>
      <c r="O25" t="s">
        <v>156</v>
      </c>
    </row>
    <row r="26" spans="1:15" x14ac:dyDescent="0.3">
      <c r="A26" s="2">
        <v>46167</v>
      </c>
      <c r="B26" t="s">
        <v>55</v>
      </c>
      <c r="C26" t="s">
        <v>106</v>
      </c>
      <c r="D26" t="s">
        <v>65</v>
      </c>
      <c r="E26" t="s">
        <v>77</v>
      </c>
      <c r="F26">
        <v>64</v>
      </c>
      <c r="G26">
        <v>3699</v>
      </c>
      <c r="H26">
        <f t="shared" si="0"/>
        <v>236736</v>
      </c>
      <c r="K26" t="s">
        <v>56</v>
      </c>
      <c r="M26" s="9">
        <v>1028</v>
      </c>
      <c r="N26" s="9">
        <v>48792</v>
      </c>
      <c r="O26" s="9">
        <v>3592333</v>
      </c>
    </row>
    <row r="27" spans="1:15" x14ac:dyDescent="0.3">
      <c r="A27" s="2">
        <v>46168</v>
      </c>
      <c r="B27" t="s">
        <v>49</v>
      </c>
      <c r="C27" t="s">
        <v>107</v>
      </c>
      <c r="D27" t="s">
        <v>56</v>
      </c>
      <c r="E27" t="s">
        <v>72</v>
      </c>
      <c r="F27">
        <v>80</v>
      </c>
      <c r="G27">
        <v>4631</v>
      </c>
      <c r="H27">
        <f t="shared" si="0"/>
        <v>370480</v>
      </c>
      <c r="L27" t="s">
        <v>72</v>
      </c>
      <c r="M27" s="9">
        <v>308</v>
      </c>
      <c r="N27" s="9">
        <v>16101</v>
      </c>
      <c r="O27" s="9">
        <v>1220308</v>
      </c>
    </row>
    <row r="28" spans="1:15" x14ac:dyDescent="0.3">
      <c r="A28" s="2">
        <v>46169</v>
      </c>
      <c r="B28" t="s">
        <v>55</v>
      </c>
      <c r="C28" t="s">
        <v>108</v>
      </c>
      <c r="D28" t="s">
        <v>58</v>
      </c>
      <c r="E28" t="s">
        <v>78</v>
      </c>
      <c r="F28">
        <v>72</v>
      </c>
      <c r="G28">
        <v>3257</v>
      </c>
      <c r="H28">
        <f t="shared" si="0"/>
        <v>234504</v>
      </c>
      <c r="L28" t="s">
        <v>57</v>
      </c>
      <c r="M28" s="9">
        <v>230</v>
      </c>
      <c r="N28" s="9">
        <v>11004</v>
      </c>
      <c r="O28" s="9">
        <v>843726</v>
      </c>
    </row>
    <row r="29" spans="1:15" x14ac:dyDescent="0.3">
      <c r="A29" s="2">
        <v>46170</v>
      </c>
      <c r="B29" t="s">
        <v>55</v>
      </c>
      <c r="C29" t="s">
        <v>109</v>
      </c>
      <c r="D29" t="s">
        <v>60</v>
      </c>
      <c r="E29" t="s">
        <v>80</v>
      </c>
      <c r="F29">
        <v>82</v>
      </c>
      <c r="G29">
        <v>2662</v>
      </c>
      <c r="H29">
        <f t="shared" si="0"/>
        <v>218284</v>
      </c>
      <c r="L29" t="s">
        <v>67</v>
      </c>
      <c r="M29" s="9">
        <v>195</v>
      </c>
      <c r="N29" s="9">
        <v>9168</v>
      </c>
      <c r="O29" s="9">
        <v>629838</v>
      </c>
    </row>
    <row r="30" spans="1:15" x14ac:dyDescent="0.3">
      <c r="A30" s="2">
        <v>46171</v>
      </c>
      <c r="B30" t="s">
        <v>62</v>
      </c>
      <c r="C30" t="s">
        <v>110</v>
      </c>
      <c r="D30" t="s">
        <v>63</v>
      </c>
      <c r="E30" t="s">
        <v>74</v>
      </c>
      <c r="F30">
        <v>76</v>
      </c>
      <c r="G30">
        <v>2848</v>
      </c>
      <c r="H30">
        <f t="shared" si="0"/>
        <v>216448</v>
      </c>
      <c r="L30" t="s">
        <v>76</v>
      </c>
      <c r="M30" s="9">
        <v>295</v>
      </c>
      <c r="N30" s="9">
        <v>12519</v>
      </c>
      <c r="O30" s="9">
        <v>898461</v>
      </c>
    </row>
    <row r="31" spans="1:15" x14ac:dyDescent="0.3">
      <c r="A31" s="2">
        <v>46172</v>
      </c>
      <c r="B31" t="s">
        <v>55</v>
      </c>
      <c r="C31" t="s">
        <v>111</v>
      </c>
      <c r="D31" t="s">
        <v>65</v>
      </c>
      <c r="E31" t="s">
        <v>73</v>
      </c>
      <c r="F31">
        <v>57</v>
      </c>
      <c r="G31">
        <v>2980</v>
      </c>
      <c r="H31">
        <f t="shared" si="0"/>
        <v>169860</v>
      </c>
      <c r="K31" t="s">
        <v>60</v>
      </c>
      <c r="M31" s="9">
        <v>932</v>
      </c>
      <c r="N31" s="9">
        <v>46863</v>
      </c>
      <c r="O31" s="9">
        <v>3156665</v>
      </c>
    </row>
    <row r="32" spans="1:15" x14ac:dyDescent="0.3">
      <c r="A32" s="2">
        <v>46173</v>
      </c>
      <c r="B32" t="s">
        <v>55</v>
      </c>
      <c r="C32" t="s">
        <v>112</v>
      </c>
      <c r="D32" t="s">
        <v>56</v>
      </c>
      <c r="E32" t="s">
        <v>57</v>
      </c>
      <c r="F32">
        <v>84</v>
      </c>
      <c r="G32">
        <v>3850</v>
      </c>
      <c r="H32">
        <f t="shared" si="0"/>
        <v>323400</v>
      </c>
      <c r="L32" t="s">
        <v>80</v>
      </c>
      <c r="M32" s="9">
        <v>266</v>
      </c>
      <c r="N32" s="9">
        <v>13198</v>
      </c>
      <c r="O32" s="9">
        <v>869134</v>
      </c>
    </row>
    <row r="33" spans="1:15" x14ac:dyDescent="0.3">
      <c r="A33" s="2">
        <v>46174</v>
      </c>
      <c r="B33" t="s">
        <v>49</v>
      </c>
      <c r="C33" t="s">
        <v>113</v>
      </c>
      <c r="D33" t="s">
        <v>58</v>
      </c>
      <c r="E33" t="s">
        <v>59</v>
      </c>
      <c r="F33">
        <v>98</v>
      </c>
      <c r="G33">
        <v>1889</v>
      </c>
      <c r="H33">
        <f t="shared" si="0"/>
        <v>185122</v>
      </c>
      <c r="L33" t="s">
        <v>79</v>
      </c>
      <c r="M33" s="9">
        <v>229</v>
      </c>
      <c r="N33" s="9">
        <v>8804</v>
      </c>
      <c r="O33" s="9">
        <v>509712</v>
      </c>
    </row>
    <row r="34" spans="1:15" x14ac:dyDescent="0.3">
      <c r="A34" s="2">
        <v>46175</v>
      </c>
      <c r="B34" t="s">
        <v>55</v>
      </c>
      <c r="C34" t="s">
        <v>114</v>
      </c>
      <c r="D34" t="s">
        <v>60</v>
      </c>
      <c r="E34" t="s">
        <v>61</v>
      </c>
      <c r="F34">
        <v>57</v>
      </c>
      <c r="G34">
        <v>3647</v>
      </c>
      <c r="H34">
        <f t="shared" si="0"/>
        <v>207879</v>
      </c>
      <c r="L34" t="s">
        <v>69</v>
      </c>
      <c r="M34" s="9">
        <v>229</v>
      </c>
      <c r="N34" s="9">
        <v>12297</v>
      </c>
      <c r="O34" s="9">
        <v>901679</v>
      </c>
    </row>
    <row r="35" spans="1:15" x14ac:dyDescent="0.3">
      <c r="A35" s="2">
        <v>46176</v>
      </c>
      <c r="B35" t="s">
        <v>62</v>
      </c>
      <c r="C35" t="s">
        <v>115</v>
      </c>
      <c r="D35" t="s">
        <v>63</v>
      </c>
      <c r="E35" t="s">
        <v>64</v>
      </c>
      <c r="F35">
        <v>82</v>
      </c>
      <c r="G35">
        <v>2008</v>
      </c>
      <c r="H35">
        <f t="shared" si="0"/>
        <v>164656</v>
      </c>
      <c r="L35" t="s">
        <v>61</v>
      </c>
      <c r="M35" s="9">
        <v>208</v>
      </c>
      <c r="N35" s="9">
        <v>12564</v>
      </c>
      <c r="O35" s="9">
        <v>876140</v>
      </c>
    </row>
    <row r="36" spans="1:15" x14ac:dyDescent="0.3">
      <c r="A36" s="2">
        <v>46177</v>
      </c>
      <c r="B36" t="s">
        <v>55</v>
      </c>
      <c r="C36" t="s">
        <v>116</v>
      </c>
      <c r="D36" t="s">
        <v>65</v>
      </c>
      <c r="E36" t="s">
        <v>66</v>
      </c>
      <c r="F36">
        <v>59</v>
      </c>
      <c r="G36">
        <v>4205</v>
      </c>
      <c r="H36">
        <f t="shared" si="0"/>
        <v>248095</v>
      </c>
      <c r="K36" t="s">
        <v>65</v>
      </c>
      <c r="M36" s="9">
        <v>1015</v>
      </c>
      <c r="N36" s="9">
        <v>45754</v>
      </c>
      <c r="O36" s="9">
        <v>3245077</v>
      </c>
    </row>
    <row r="37" spans="1:15" x14ac:dyDescent="0.3">
      <c r="A37" s="2">
        <v>46178</v>
      </c>
      <c r="B37" t="s">
        <v>49</v>
      </c>
      <c r="C37" t="s">
        <v>117</v>
      </c>
      <c r="D37" t="s">
        <v>56</v>
      </c>
      <c r="E37" t="s">
        <v>67</v>
      </c>
      <c r="F37">
        <v>67</v>
      </c>
      <c r="G37">
        <v>3307</v>
      </c>
      <c r="H37">
        <f t="shared" si="0"/>
        <v>221569</v>
      </c>
      <c r="L37" t="s">
        <v>71</v>
      </c>
      <c r="M37" s="9">
        <v>214</v>
      </c>
      <c r="N37" s="9">
        <v>11918</v>
      </c>
      <c r="O37" s="9">
        <v>827586</v>
      </c>
    </row>
    <row r="38" spans="1:15" x14ac:dyDescent="0.3">
      <c r="A38" s="2">
        <v>46179</v>
      </c>
      <c r="B38" t="s">
        <v>55</v>
      </c>
      <c r="C38" t="s">
        <v>118</v>
      </c>
      <c r="D38" t="s">
        <v>58</v>
      </c>
      <c r="E38" t="s">
        <v>68</v>
      </c>
      <c r="F38">
        <v>89</v>
      </c>
      <c r="G38">
        <v>3973</v>
      </c>
      <c r="H38">
        <f t="shared" si="0"/>
        <v>353597</v>
      </c>
      <c r="L38" t="s">
        <v>73</v>
      </c>
      <c r="M38" s="9">
        <v>298</v>
      </c>
      <c r="N38" s="9">
        <v>12230</v>
      </c>
      <c r="O38" s="9">
        <v>906362</v>
      </c>
    </row>
    <row r="39" spans="1:15" x14ac:dyDescent="0.3">
      <c r="A39" s="2">
        <v>46180</v>
      </c>
      <c r="B39" t="s">
        <v>55</v>
      </c>
      <c r="C39" t="s">
        <v>119</v>
      </c>
      <c r="D39" t="s">
        <v>60</v>
      </c>
      <c r="E39" t="s">
        <v>69</v>
      </c>
      <c r="F39">
        <v>87</v>
      </c>
      <c r="G39">
        <v>2151</v>
      </c>
      <c r="H39">
        <f t="shared" si="0"/>
        <v>187137</v>
      </c>
      <c r="L39" t="s">
        <v>66</v>
      </c>
      <c r="M39" s="9">
        <v>229</v>
      </c>
      <c r="N39" s="9">
        <v>8589</v>
      </c>
      <c r="O39" s="9">
        <v>629015</v>
      </c>
    </row>
    <row r="40" spans="1:15" x14ac:dyDescent="0.3">
      <c r="A40" s="2">
        <v>46181</v>
      </c>
      <c r="B40" t="s">
        <v>62</v>
      </c>
      <c r="C40" t="s">
        <v>120</v>
      </c>
      <c r="D40" t="s">
        <v>63</v>
      </c>
      <c r="E40" t="s">
        <v>70</v>
      </c>
      <c r="F40">
        <v>86</v>
      </c>
      <c r="G40">
        <v>2975</v>
      </c>
      <c r="H40">
        <f t="shared" si="0"/>
        <v>255850</v>
      </c>
      <c r="L40" t="s">
        <v>77</v>
      </c>
      <c r="M40" s="9">
        <v>274</v>
      </c>
      <c r="N40" s="9">
        <v>13017</v>
      </c>
      <c r="O40" s="9">
        <v>882114</v>
      </c>
    </row>
    <row r="41" spans="1:15" x14ac:dyDescent="0.3">
      <c r="A41" s="2">
        <v>46182</v>
      </c>
      <c r="B41" t="s">
        <v>55</v>
      </c>
      <c r="C41" t="s">
        <v>121</v>
      </c>
      <c r="D41" t="s">
        <v>65</v>
      </c>
      <c r="E41" t="s">
        <v>71</v>
      </c>
      <c r="F41">
        <v>48</v>
      </c>
      <c r="G41">
        <v>4565</v>
      </c>
      <c r="H41">
        <f t="shared" si="0"/>
        <v>219120</v>
      </c>
      <c r="K41" t="s">
        <v>63</v>
      </c>
      <c r="M41" s="9">
        <v>1008</v>
      </c>
      <c r="N41" s="9">
        <v>42814</v>
      </c>
      <c r="O41" s="9">
        <v>3059025</v>
      </c>
    </row>
    <row r="42" spans="1:15" x14ac:dyDescent="0.3">
      <c r="A42" s="2">
        <v>46183</v>
      </c>
      <c r="B42" t="s">
        <v>55</v>
      </c>
      <c r="C42" t="s">
        <v>122</v>
      </c>
      <c r="D42" t="s">
        <v>56</v>
      </c>
      <c r="E42" t="s">
        <v>76</v>
      </c>
      <c r="F42">
        <v>91</v>
      </c>
      <c r="G42">
        <v>3653</v>
      </c>
      <c r="H42">
        <f t="shared" si="0"/>
        <v>332423</v>
      </c>
      <c r="L42" t="s">
        <v>70</v>
      </c>
      <c r="M42" s="9">
        <v>234</v>
      </c>
      <c r="N42" s="9">
        <v>7521</v>
      </c>
      <c r="O42" s="9">
        <v>598788</v>
      </c>
    </row>
    <row r="43" spans="1:15" x14ac:dyDescent="0.3">
      <c r="A43" s="2">
        <v>46184</v>
      </c>
      <c r="B43" t="s">
        <v>49</v>
      </c>
      <c r="C43" t="s">
        <v>123</v>
      </c>
      <c r="D43" t="s">
        <v>58</v>
      </c>
      <c r="E43" t="s">
        <v>81</v>
      </c>
      <c r="F43">
        <v>65</v>
      </c>
      <c r="G43">
        <v>3992</v>
      </c>
      <c r="H43">
        <f t="shared" si="0"/>
        <v>259480</v>
      </c>
      <c r="L43" t="s">
        <v>64</v>
      </c>
      <c r="M43" s="9">
        <v>237</v>
      </c>
      <c r="N43" s="9">
        <v>10215</v>
      </c>
      <c r="O43" s="9">
        <v>781341</v>
      </c>
    </row>
    <row r="44" spans="1:15" x14ac:dyDescent="0.3">
      <c r="A44" s="2">
        <v>46185</v>
      </c>
      <c r="B44" t="s">
        <v>55</v>
      </c>
      <c r="C44" t="s">
        <v>124</v>
      </c>
      <c r="D44" t="s">
        <v>60</v>
      </c>
      <c r="E44" t="s">
        <v>79</v>
      </c>
      <c r="F44">
        <v>63</v>
      </c>
      <c r="G44">
        <v>2673</v>
      </c>
      <c r="H44">
        <f t="shared" si="0"/>
        <v>168399</v>
      </c>
      <c r="L44" t="s">
        <v>74</v>
      </c>
      <c r="M44" s="9">
        <v>229</v>
      </c>
      <c r="N44" s="9">
        <v>12165</v>
      </c>
      <c r="O44" s="9">
        <v>700428</v>
      </c>
    </row>
    <row r="45" spans="1:15" x14ac:dyDescent="0.3">
      <c r="A45" s="2">
        <v>46186</v>
      </c>
      <c r="B45" t="s">
        <v>62</v>
      </c>
      <c r="C45" t="s">
        <v>125</v>
      </c>
      <c r="D45" t="s">
        <v>63</v>
      </c>
      <c r="E45" t="s">
        <v>75</v>
      </c>
      <c r="F45">
        <v>57</v>
      </c>
      <c r="G45">
        <v>2712</v>
      </c>
      <c r="H45">
        <f t="shared" si="0"/>
        <v>154584</v>
      </c>
      <c r="L45" t="s">
        <v>75</v>
      </c>
      <c r="M45" s="9">
        <v>308</v>
      </c>
      <c r="N45" s="9">
        <v>12913</v>
      </c>
      <c r="O45" s="9">
        <v>978468</v>
      </c>
    </row>
    <row r="46" spans="1:15" x14ac:dyDescent="0.3">
      <c r="A46" s="2">
        <v>46187</v>
      </c>
      <c r="B46" t="s">
        <v>55</v>
      </c>
      <c r="C46" t="s">
        <v>126</v>
      </c>
      <c r="D46" t="s">
        <v>65</v>
      </c>
      <c r="E46" t="s">
        <v>77</v>
      </c>
      <c r="F46">
        <v>65</v>
      </c>
      <c r="G46">
        <v>2492</v>
      </c>
      <c r="H46">
        <f t="shared" si="0"/>
        <v>161980</v>
      </c>
      <c r="K46" t="s">
        <v>58</v>
      </c>
      <c r="M46" s="9">
        <v>981</v>
      </c>
      <c r="N46" s="9">
        <v>48825</v>
      </c>
      <c r="O46" s="9">
        <v>3457865</v>
      </c>
    </row>
    <row r="47" spans="1:15" x14ac:dyDescent="0.3">
      <c r="A47" s="2">
        <v>46188</v>
      </c>
      <c r="B47" t="s">
        <v>49</v>
      </c>
      <c r="C47" t="s">
        <v>127</v>
      </c>
      <c r="D47" t="s">
        <v>56</v>
      </c>
      <c r="E47" t="s">
        <v>72</v>
      </c>
      <c r="F47">
        <v>57</v>
      </c>
      <c r="G47">
        <v>4933</v>
      </c>
      <c r="H47">
        <f t="shared" si="0"/>
        <v>281181</v>
      </c>
      <c r="L47" t="s">
        <v>78</v>
      </c>
      <c r="M47" s="9">
        <v>261</v>
      </c>
      <c r="N47" s="9">
        <v>15314</v>
      </c>
      <c r="O47" s="9">
        <v>1001925</v>
      </c>
    </row>
    <row r="48" spans="1:15" x14ac:dyDescent="0.3">
      <c r="A48" s="2">
        <v>46189</v>
      </c>
      <c r="B48" t="s">
        <v>55</v>
      </c>
      <c r="C48" t="s">
        <v>128</v>
      </c>
      <c r="D48" t="s">
        <v>58</v>
      </c>
      <c r="E48" t="s">
        <v>78</v>
      </c>
      <c r="F48">
        <v>53</v>
      </c>
      <c r="G48">
        <v>3727</v>
      </c>
      <c r="H48">
        <f t="shared" si="0"/>
        <v>197531</v>
      </c>
      <c r="L48" t="s">
        <v>68</v>
      </c>
      <c r="M48" s="9">
        <v>221</v>
      </c>
      <c r="N48" s="9">
        <v>12533</v>
      </c>
      <c r="O48" s="9">
        <v>941517</v>
      </c>
    </row>
    <row r="49" spans="1:15" x14ac:dyDescent="0.3">
      <c r="A49" s="2">
        <v>46190</v>
      </c>
      <c r="B49" t="s">
        <v>55</v>
      </c>
      <c r="C49" t="s">
        <v>129</v>
      </c>
      <c r="D49" t="s">
        <v>60</v>
      </c>
      <c r="E49" t="s">
        <v>80</v>
      </c>
      <c r="F49">
        <v>52</v>
      </c>
      <c r="G49">
        <v>3454</v>
      </c>
      <c r="H49">
        <f t="shared" si="0"/>
        <v>179608</v>
      </c>
      <c r="L49" t="s">
        <v>81</v>
      </c>
      <c r="M49" s="9">
        <v>272</v>
      </c>
      <c r="N49" s="9">
        <v>13551</v>
      </c>
      <c r="O49" s="9">
        <v>964441</v>
      </c>
    </row>
    <row r="50" spans="1:15" x14ac:dyDescent="0.3">
      <c r="A50" s="2">
        <v>46191</v>
      </c>
      <c r="B50" t="s">
        <v>62</v>
      </c>
      <c r="C50" t="s">
        <v>130</v>
      </c>
      <c r="D50" t="s">
        <v>63</v>
      </c>
      <c r="E50" t="s">
        <v>74</v>
      </c>
      <c r="F50">
        <v>48</v>
      </c>
      <c r="G50">
        <v>2615</v>
      </c>
      <c r="H50">
        <f t="shared" si="0"/>
        <v>125520</v>
      </c>
      <c r="L50" t="s">
        <v>59</v>
      </c>
      <c r="M50" s="9">
        <v>227</v>
      </c>
      <c r="N50" s="9">
        <v>7427</v>
      </c>
      <c r="O50" s="9">
        <v>549982</v>
      </c>
    </row>
    <row r="51" spans="1:15" x14ac:dyDescent="0.3">
      <c r="A51" s="2">
        <v>46192</v>
      </c>
      <c r="B51" t="s">
        <v>55</v>
      </c>
      <c r="C51" t="s">
        <v>131</v>
      </c>
      <c r="D51" t="s">
        <v>65</v>
      </c>
      <c r="E51" t="s">
        <v>73</v>
      </c>
      <c r="F51">
        <v>64</v>
      </c>
      <c r="G51">
        <v>4211</v>
      </c>
      <c r="H51">
        <f t="shared" si="0"/>
        <v>269504</v>
      </c>
      <c r="K51" t="s">
        <v>157</v>
      </c>
      <c r="M51" s="9">
        <v>4964</v>
      </c>
      <c r="N51" s="9">
        <v>233048</v>
      </c>
      <c r="O51" s="9">
        <v>16510965</v>
      </c>
    </row>
    <row r="52" spans="1:15" x14ac:dyDescent="0.3">
      <c r="A52" s="2">
        <v>46193</v>
      </c>
      <c r="B52" t="s">
        <v>55</v>
      </c>
      <c r="C52" t="s">
        <v>132</v>
      </c>
      <c r="D52" t="s">
        <v>56</v>
      </c>
      <c r="E52" t="s">
        <v>57</v>
      </c>
      <c r="F52">
        <v>72</v>
      </c>
      <c r="G52">
        <v>4535</v>
      </c>
      <c r="H52">
        <f t="shared" si="0"/>
        <v>326520</v>
      </c>
    </row>
    <row r="53" spans="1:15" x14ac:dyDescent="0.3">
      <c r="A53" s="2">
        <v>46194</v>
      </c>
      <c r="B53" t="s">
        <v>49</v>
      </c>
      <c r="C53" t="s">
        <v>133</v>
      </c>
      <c r="D53" t="s">
        <v>58</v>
      </c>
      <c r="E53" t="s">
        <v>59</v>
      </c>
      <c r="F53">
        <v>60</v>
      </c>
      <c r="G53">
        <v>1918</v>
      </c>
      <c r="H53">
        <f t="shared" si="0"/>
        <v>115080</v>
      </c>
    </row>
    <row r="54" spans="1:15" x14ac:dyDescent="0.3">
      <c r="A54" s="2">
        <v>46195</v>
      </c>
      <c r="B54" t="s">
        <v>55</v>
      </c>
      <c r="C54" t="s">
        <v>134</v>
      </c>
      <c r="D54" t="s">
        <v>60</v>
      </c>
      <c r="E54" t="s">
        <v>61</v>
      </c>
      <c r="F54">
        <v>71</v>
      </c>
      <c r="G54">
        <v>5011</v>
      </c>
      <c r="H54">
        <f t="shared" si="0"/>
        <v>355781</v>
      </c>
    </row>
    <row r="55" spans="1:15" x14ac:dyDescent="0.3">
      <c r="A55" s="2">
        <v>46196</v>
      </c>
      <c r="B55" t="s">
        <v>62</v>
      </c>
      <c r="C55" t="s">
        <v>135</v>
      </c>
      <c r="D55" t="s">
        <v>63</v>
      </c>
      <c r="E55" t="s">
        <v>64</v>
      </c>
      <c r="F55">
        <v>70</v>
      </c>
      <c r="G55">
        <v>5394</v>
      </c>
      <c r="H55">
        <f t="shared" si="0"/>
        <v>377580</v>
      </c>
    </row>
    <row r="56" spans="1:15" x14ac:dyDescent="0.3">
      <c r="A56" s="2">
        <v>46197</v>
      </c>
      <c r="B56" t="s">
        <v>55</v>
      </c>
      <c r="C56" t="s">
        <v>136</v>
      </c>
      <c r="D56" t="s">
        <v>65</v>
      </c>
      <c r="E56" t="s">
        <v>66</v>
      </c>
      <c r="F56">
        <v>95</v>
      </c>
      <c r="G56">
        <v>2606</v>
      </c>
      <c r="H56">
        <f t="shared" si="0"/>
        <v>247570</v>
      </c>
    </row>
    <row r="57" spans="1:15" x14ac:dyDescent="0.3">
      <c r="A57" s="2">
        <v>46198</v>
      </c>
      <c r="B57" t="s">
        <v>49</v>
      </c>
      <c r="C57" t="s">
        <v>137</v>
      </c>
      <c r="D57" t="s">
        <v>56</v>
      </c>
      <c r="E57" t="s">
        <v>67</v>
      </c>
      <c r="F57">
        <v>49</v>
      </c>
      <c r="G57">
        <v>1825</v>
      </c>
      <c r="H57">
        <f t="shared" si="0"/>
        <v>89425</v>
      </c>
    </row>
    <row r="58" spans="1:15" x14ac:dyDescent="0.3">
      <c r="A58" s="2">
        <v>46199</v>
      </c>
      <c r="B58" t="s">
        <v>55</v>
      </c>
      <c r="C58" t="s">
        <v>138</v>
      </c>
      <c r="D58" t="s">
        <v>58</v>
      </c>
      <c r="E58" t="s">
        <v>68</v>
      </c>
      <c r="F58">
        <v>80</v>
      </c>
      <c r="G58">
        <v>5100</v>
      </c>
      <c r="H58">
        <f t="shared" si="0"/>
        <v>408000</v>
      </c>
    </row>
    <row r="59" spans="1:15" x14ac:dyDescent="0.3">
      <c r="A59" s="2">
        <v>46200</v>
      </c>
      <c r="B59" t="s">
        <v>55</v>
      </c>
      <c r="C59" t="s">
        <v>139</v>
      </c>
      <c r="D59" t="s">
        <v>60</v>
      </c>
      <c r="E59" t="s">
        <v>69</v>
      </c>
      <c r="F59">
        <v>58</v>
      </c>
      <c r="G59">
        <v>5297</v>
      </c>
      <c r="H59">
        <f t="shared" si="0"/>
        <v>307226</v>
      </c>
    </row>
    <row r="60" spans="1:15" x14ac:dyDescent="0.3">
      <c r="A60" s="2">
        <v>46201</v>
      </c>
      <c r="B60" t="s">
        <v>62</v>
      </c>
      <c r="C60" t="s">
        <v>140</v>
      </c>
      <c r="D60" t="s">
        <v>63</v>
      </c>
      <c r="E60" t="s">
        <v>70</v>
      </c>
      <c r="F60">
        <v>65</v>
      </c>
      <c r="G60">
        <v>1910</v>
      </c>
      <c r="H60">
        <f t="shared" si="0"/>
        <v>124150</v>
      </c>
    </row>
    <row r="61" spans="1:15" x14ac:dyDescent="0.3">
      <c r="A61" s="2">
        <v>46202</v>
      </c>
      <c r="B61" t="s">
        <v>55</v>
      </c>
      <c r="C61" t="s">
        <v>141</v>
      </c>
      <c r="D61" t="s">
        <v>65</v>
      </c>
      <c r="E61" t="s">
        <v>71</v>
      </c>
      <c r="F61">
        <v>80</v>
      </c>
      <c r="G61">
        <v>3982</v>
      </c>
      <c r="H61">
        <f t="shared" si="0"/>
        <v>318560</v>
      </c>
    </row>
    <row r="62" spans="1:15" x14ac:dyDescent="0.3">
      <c r="A62" s="2">
        <v>46203</v>
      </c>
      <c r="B62" t="s">
        <v>55</v>
      </c>
      <c r="C62" t="s">
        <v>142</v>
      </c>
      <c r="D62" t="s">
        <v>56</v>
      </c>
      <c r="E62" t="s">
        <v>76</v>
      </c>
      <c r="F62">
        <v>88</v>
      </c>
      <c r="G62">
        <v>1727</v>
      </c>
      <c r="H62">
        <f t="shared" si="0"/>
        <v>151976</v>
      </c>
    </row>
    <row r="63" spans="1:15" x14ac:dyDescent="0.3">
      <c r="A63" s="2">
        <v>46204</v>
      </c>
      <c r="B63" t="s">
        <v>49</v>
      </c>
      <c r="C63" t="s">
        <v>143</v>
      </c>
      <c r="D63" t="s">
        <v>58</v>
      </c>
      <c r="E63" t="s">
        <v>81</v>
      </c>
      <c r="F63">
        <v>51</v>
      </c>
      <c r="G63">
        <v>1693</v>
      </c>
      <c r="H63">
        <f t="shared" si="0"/>
        <v>86343</v>
      </c>
    </row>
    <row r="64" spans="1:15" x14ac:dyDescent="0.3">
      <c r="A64" s="2">
        <v>46205</v>
      </c>
      <c r="B64" t="s">
        <v>55</v>
      </c>
      <c r="C64" t="s">
        <v>144</v>
      </c>
      <c r="D64" t="s">
        <v>60</v>
      </c>
      <c r="E64" t="s">
        <v>79</v>
      </c>
      <c r="F64">
        <v>49</v>
      </c>
      <c r="G64">
        <v>1526</v>
      </c>
      <c r="H64">
        <f t="shared" si="0"/>
        <v>74774</v>
      </c>
    </row>
    <row r="65" spans="1:8" x14ac:dyDescent="0.3">
      <c r="A65" s="2">
        <v>46206</v>
      </c>
      <c r="B65" t="s">
        <v>62</v>
      </c>
      <c r="C65" t="s">
        <v>145</v>
      </c>
      <c r="D65" t="s">
        <v>63</v>
      </c>
      <c r="E65" t="s">
        <v>75</v>
      </c>
      <c r="F65">
        <v>60</v>
      </c>
      <c r="G65">
        <v>3631</v>
      </c>
      <c r="H65">
        <f t="shared" si="0"/>
        <v>217860</v>
      </c>
    </row>
    <row r="66" spans="1:8" x14ac:dyDescent="0.3">
      <c r="A66" s="2">
        <v>46207</v>
      </c>
      <c r="B66" t="s">
        <v>55</v>
      </c>
      <c r="C66" t="s">
        <v>146</v>
      </c>
      <c r="D66" t="s">
        <v>65</v>
      </c>
      <c r="E66" t="s">
        <v>77</v>
      </c>
      <c r="F66">
        <v>76</v>
      </c>
      <c r="G66">
        <v>1772</v>
      </c>
      <c r="H66">
        <f t="shared" si="0"/>
        <v>134672</v>
      </c>
    </row>
    <row r="67" spans="1:8" x14ac:dyDescent="0.3">
      <c r="A67" s="2">
        <v>46208</v>
      </c>
      <c r="B67" t="s">
        <v>49</v>
      </c>
      <c r="C67" t="s">
        <v>147</v>
      </c>
      <c r="D67" t="s">
        <v>56</v>
      </c>
      <c r="E67" t="s">
        <v>72</v>
      </c>
      <c r="F67">
        <v>82</v>
      </c>
      <c r="G67">
        <v>1878</v>
      </c>
      <c r="H67">
        <f t="shared" ref="H67:H71" si="3">F67*G67</f>
        <v>153996</v>
      </c>
    </row>
    <row r="68" spans="1:8" x14ac:dyDescent="0.3">
      <c r="A68" s="2">
        <v>46209</v>
      </c>
      <c r="B68" t="s">
        <v>55</v>
      </c>
      <c r="C68" t="s">
        <v>148</v>
      </c>
      <c r="D68" t="s">
        <v>58</v>
      </c>
      <c r="E68" t="s">
        <v>78</v>
      </c>
      <c r="F68">
        <v>63</v>
      </c>
      <c r="G68">
        <v>3820</v>
      </c>
      <c r="H68">
        <f t="shared" si="3"/>
        <v>240660</v>
      </c>
    </row>
    <row r="69" spans="1:8" x14ac:dyDescent="0.3">
      <c r="A69" s="2">
        <v>46210</v>
      </c>
      <c r="B69" t="s">
        <v>55</v>
      </c>
      <c r="C69" t="s">
        <v>149</v>
      </c>
      <c r="D69" t="s">
        <v>60</v>
      </c>
      <c r="E69" t="s">
        <v>80</v>
      </c>
      <c r="F69">
        <v>65</v>
      </c>
      <c r="G69">
        <v>1626</v>
      </c>
      <c r="H69">
        <f t="shared" si="3"/>
        <v>105690</v>
      </c>
    </row>
    <row r="70" spans="1:8" x14ac:dyDescent="0.3">
      <c r="A70" s="2">
        <v>46211</v>
      </c>
      <c r="B70" t="s">
        <v>62</v>
      </c>
      <c r="C70" t="s">
        <v>150</v>
      </c>
      <c r="D70" t="s">
        <v>63</v>
      </c>
      <c r="E70" t="s">
        <v>74</v>
      </c>
      <c r="F70">
        <v>50</v>
      </c>
      <c r="G70">
        <v>2030</v>
      </c>
      <c r="H70">
        <f t="shared" si="3"/>
        <v>101500</v>
      </c>
    </row>
    <row r="71" spans="1:8" x14ac:dyDescent="0.3">
      <c r="A71" s="2">
        <v>46212</v>
      </c>
      <c r="B71" t="s">
        <v>55</v>
      </c>
      <c r="C71" t="s">
        <v>151</v>
      </c>
      <c r="D71" t="s">
        <v>65</v>
      </c>
      <c r="E71" t="s">
        <v>73</v>
      </c>
      <c r="F71">
        <v>75</v>
      </c>
      <c r="G71">
        <v>1740</v>
      </c>
      <c r="H71">
        <f t="shared" si="3"/>
        <v>130500</v>
      </c>
    </row>
  </sheetData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FFFD1-621A-4AE5-8613-DE0685E837AD}">
  <dimension ref="A1:L71"/>
  <sheetViews>
    <sheetView workbookViewId="0">
      <selection activeCell="L23" sqref="L23"/>
    </sheetView>
  </sheetViews>
  <sheetFormatPr defaultRowHeight="14.4" x14ac:dyDescent="0.3"/>
  <cols>
    <col min="1" max="1" width="10.33203125" bestFit="1" customWidth="1"/>
    <col min="2" max="2" width="9.21875" bestFit="1" customWidth="1"/>
    <col min="3" max="3" width="13" bestFit="1" customWidth="1"/>
    <col min="5" max="5" width="20.109375" bestFit="1" customWidth="1"/>
    <col min="6" max="6" width="10.5546875" bestFit="1" customWidth="1"/>
    <col min="7" max="7" width="10.44140625" bestFit="1" customWidth="1"/>
    <col min="8" max="8" width="11.109375" bestFit="1" customWidth="1"/>
    <col min="11" max="11" width="20.109375" bestFit="1" customWidth="1"/>
    <col min="12" max="12" width="15.5546875" bestFit="1" customWidth="1"/>
  </cols>
  <sheetData>
    <row r="1" spans="1:12" x14ac:dyDescent="0.3">
      <c r="A1" s="13" t="s">
        <v>48</v>
      </c>
      <c r="B1" s="13" t="s">
        <v>50</v>
      </c>
      <c r="C1" s="13" t="s">
        <v>51</v>
      </c>
      <c r="D1" s="13" t="s">
        <v>52</v>
      </c>
      <c r="E1" s="13" t="s">
        <v>53</v>
      </c>
      <c r="F1" s="13" t="s">
        <v>54</v>
      </c>
      <c r="G1" s="13" t="s">
        <v>153</v>
      </c>
      <c r="H1" s="13" t="s">
        <v>152</v>
      </c>
      <c r="K1" s="13" t="s">
        <v>53</v>
      </c>
      <c r="L1" s="13" t="s">
        <v>169</v>
      </c>
    </row>
    <row r="2" spans="1:12" x14ac:dyDescent="0.3">
      <c r="A2">
        <v>46143</v>
      </c>
      <c r="B2" t="s">
        <v>55</v>
      </c>
      <c r="C2" t="s">
        <v>82</v>
      </c>
      <c r="D2" t="s">
        <v>56</v>
      </c>
      <c r="E2" t="s">
        <v>76</v>
      </c>
      <c r="F2">
        <v>58</v>
      </c>
      <c r="G2">
        <v>3499</v>
      </c>
      <c r="H2">
        <f>F2*G2</f>
        <v>202942</v>
      </c>
      <c r="K2" t="s">
        <v>76</v>
      </c>
      <c r="L2">
        <f>SUMIF(E:E,K2,H:H)</f>
        <v>898461</v>
      </c>
    </row>
    <row r="3" spans="1:12" x14ac:dyDescent="0.3">
      <c r="A3">
        <v>46144</v>
      </c>
      <c r="B3" t="s">
        <v>49</v>
      </c>
      <c r="C3" t="s">
        <v>83</v>
      </c>
      <c r="D3" t="s">
        <v>58</v>
      </c>
      <c r="E3" t="s">
        <v>81</v>
      </c>
      <c r="F3">
        <v>63</v>
      </c>
      <c r="G3">
        <v>3764</v>
      </c>
      <c r="H3">
        <f t="shared" ref="H3:H66" si="0">F3*G3</f>
        <v>237132</v>
      </c>
      <c r="K3" t="s">
        <v>81</v>
      </c>
      <c r="L3">
        <f t="shared" ref="L3:L21" si="1">SUMIF(E:E,K3,H:H)</f>
        <v>964441</v>
      </c>
    </row>
    <row r="4" spans="1:12" x14ac:dyDescent="0.3">
      <c r="A4">
        <v>46145</v>
      </c>
      <c r="B4" t="s">
        <v>55</v>
      </c>
      <c r="C4" t="s">
        <v>84</v>
      </c>
      <c r="D4" t="s">
        <v>60</v>
      </c>
      <c r="E4" t="s">
        <v>79</v>
      </c>
      <c r="F4">
        <v>52</v>
      </c>
      <c r="G4">
        <v>2522</v>
      </c>
      <c r="H4">
        <f t="shared" si="0"/>
        <v>131144</v>
      </c>
      <c r="K4" t="s">
        <v>79</v>
      </c>
      <c r="L4">
        <f t="shared" si="1"/>
        <v>509712</v>
      </c>
    </row>
    <row r="5" spans="1:12" x14ac:dyDescent="0.3">
      <c r="A5">
        <v>46146</v>
      </c>
      <c r="B5" t="s">
        <v>62</v>
      </c>
      <c r="C5" t="s">
        <v>85</v>
      </c>
      <c r="D5" t="s">
        <v>63</v>
      </c>
      <c r="E5" t="s">
        <v>75</v>
      </c>
      <c r="F5">
        <v>102</v>
      </c>
      <c r="G5">
        <v>1638</v>
      </c>
      <c r="H5">
        <f t="shared" si="0"/>
        <v>167076</v>
      </c>
      <c r="K5" t="s">
        <v>75</v>
      </c>
      <c r="L5">
        <f t="shared" si="1"/>
        <v>978468</v>
      </c>
    </row>
    <row r="6" spans="1:12" x14ac:dyDescent="0.3">
      <c r="A6">
        <v>46147</v>
      </c>
      <c r="B6" t="s">
        <v>55</v>
      </c>
      <c r="C6" t="s">
        <v>86</v>
      </c>
      <c r="D6" t="s">
        <v>65</v>
      </c>
      <c r="E6" t="s">
        <v>77</v>
      </c>
      <c r="F6">
        <v>69</v>
      </c>
      <c r="G6">
        <v>5054</v>
      </c>
      <c r="H6">
        <f t="shared" si="0"/>
        <v>348726</v>
      </c>
      <c r="K6" t="s">
        <v>77</v>
      </c>
      <c r="L6">
        <f t="shared" si="1"/>
        <v>882114</v>
      </c>
    </row>
    <row r="7" spans="1:12" x14ac:dyDescent="0.3">
      <c r="A7">
        <v>46148</v>
      </c>
      <c r="B7" t="s">
        <v>49</v>
      </c>
      <c r="C7" t="s">
        <v>87</v>
      </c>
      <c r="D7" t="s">
        <v>56</v>
      </c>
      <c r="E7" t="s">
        <v>72</v>
      </c>
      <c r="F7">
        <v>89</v>
      </c>
      <c r="G7">
        <v>4659</v>
      </c>
      <c r="H7">
        <f t="shared" si="0"/>
        <v>414651</v>
      </c>
      <c r="K7" t="s">
        <v>72</v>
      </c>
      <c r="L7">
        <f t="shared" si="1"/>
        <v>1220308</v>
      </c>
    </row>
    <row r="8" spans="1:12" x14ac:dyDescent="0.3">
      <c r="A8">
        <v>46149</v>
      </c>
      <c r="B8" t="s">
        <v>55</v>
      </c>
      <c r="C8" t="s">
        <v>88</v>
      </c>
      <c r="D8" t="s">
        <v>58</v>
      </c>
      <c r="E8" t="s">
        <v>78</v>
      </c>
      <c r="F8">
        <v>73</v>
      </c>
      <c r="G8">
        <v>4510</v>
      </c>
      <c r="H8">
        <f t="shared" si="0"/>
        <v>329230</v>
      </c>
      <c r="K8" t="s">
        <v>78</v>
      </c>
      <c r="L8">
        <f t="shared" si="1"/>
        <v>1001925</v>
      </c>
    </row>
    <row r="9" spans="1:12" x14ac:dyDescent="0.3">
      <c r="A9">
        <v>46150</v>
      </c>
      <c r="B9" t="s">
        <v>55</v>
      </c>
      <c r="C9" t="s">
        <v>89</v>
      </c>
      <c r="D9" t="s">
        <v>60</v>
      </c>
      <c r="E9" t="s">
        <v>80</v>
      </c>
      <c r="F9">
        <v>67</v>
      </c>
      <c r="G9">
        <v>5456</v>
      </c>
      <c r="H9">
        <f t="shared" si="0"/>
        <v>365552</v>
      </c>
      <c r="K9" t="s">
        <v>80</v>
      </c>
      <c r="L9">
        <f t="shared" si="1"/>
        <v>869134</v>
      </c>
    </row>
    <row r="10" spans="1:12" x14ac:dyDescent="0.3">
      <c r="A10">
        <v>46151</v>
      </c>
      <c r="B10" t="s">
        <v>62</v>
      </c>
      <c r="C10" t="s">
        <v>90</v>
      </c>
      <c r="D10" t="s">
        <v>63</v>
      </c>
      <c r="E10" t="s">
        <v>74</v>
      </c>
      <c r="F10">
        <v>55</v>
      </c>
      <c r="G10">
        <v>4672</v>
      </c>
      <c r="H10">
        <f t="shared" si="0"/>
        <v>256960</v>
      </c>
      <c r="K10" t="s">
        <v>74</v>
      </c>
      <c r="L10">
        <f t="shared" si="1"/>
        <v>700428</v>
      </c>
    </row>
    <row r="11" spans="1:12" x14ac:dyDescent="0.3">
      <c r="A11">
        <v>46152</v>
      </c>
      <c r="B11" t="s">
        <v>55</v>
      </c>
      <c r="C11" t="s">
        <v>91</v>
      </c>
      <c r="D11" t="s">
        <v>65</v>
      </c>
      <c r="E11" t="s">
        <v>73</v>
      </c>
      <c r="F11">
        <v>102</v>
      </c>
      <c r="G11">
        <v>3299</v>
      </c>
      <c r="H11">
        <f t="shared" si="0"/>
        <v>336498</v>
      </c>
      <c r="K11" t="s">
        <v>73</v>
      </c>
      <c r="L11">
        <f t="shared" si="1"/>
        <v>906362</v>
      </c>
    </row>
    <row r="12" spans="1:12" x14ac:dyDescent="0.3">
      <c r="A12">
        <v>46153</v>
      </c>
      <c r="B12" t="s">
        <v>55</v>
      </c>
      <c r="C12" t="s">
        <v>92</v>
      </c>
      <c r="D12" t="s">
        <v>56</v>
      </c>
      <c r="E12" t="s">
        <v>57</v>
      </c>
      <c r="F12">
        <v>74</v>
      </c>
      <c r="G12">
        <v>2619</v>
      </c>
      <c r="H12">
        <f t="shared" si="0"/>
        <v>193806</v>
      </c>
      <c r="K12" t="s">
        <v>57</v>
      </c>
      <c r="L12">
        <f t="shared" si="1"/>
        <v>843726</v>
      </c>
    </row>
    <row r="13" spans="1:12" x14ac:dyDescent="0.3">
      <c r="A13">
        <v>46154</v>
      </c>
      <c r="B13" t="s">
        <v>49</v>
      </c>
      <c r="C13" t="s">
        <v>93</v>
      </c>
      <c r="D13" t="s">
        <v>58</v>
      </c>
      <c r="E13" t="s">
        <v>59</v>
      </c>
      <c r="F13">
        <v>69</v>
      </c>
      <c r="G13">
        <v>3620</v>
      </c>
      <c r="H13">
        <f t="shared" si="0"/>
        <v>249780</v>
      </c>
      <c r="K13" t="s">
        <v>59</v>
      </c>
      <c r="L13">
        <f t="shared" si="1"/>
        <v>549982</v>
      </c>
    </row>
    <row r="14" spans="1:12" x14ac:dyDescent="0.3">
      <c r="A14">
        <v>46155</v>
      </c>
      <c r="B14" t="s">
        <v>55</v>
      </c>
      <c r="C14" t="s">
        <v>94</v>
      </c>
      <c r="D14" t="s">
        <v>60</v>
      </c>
      <c r="E14" t="s">
        <v>61</v>
      </c>
      <c r="F14">
        <v>80</v>
      </c>
      <c r="G14">
        <v>3906</v>
      </c>
      <c r="H14">
        <f t="shared" si="0"/>
        <v>312480</v>
      </c>
      <c r="K14" t="s">
        <v>61</v>
      </c>
      <c r="L14">
        <f t="shared" si="1"/>
        <v>876140</v>
      </c>
    </row>
    <row r="15" spans="1:12" x14ac:dyDescent="0.3">
      <c r="A15">
        <v>46156</v>
      </c>
      <c r="B15" t="s">
        <v>62</v>
      </c>
      <c r="C15" t="s">
        <v>95</v>
      </c>
      <c r="D15" t="s">
        <v>63</v>
      </c>
      <c r="E15" t="s">
        <v>64</v>
      </c>
      <c r="F15">
        <v>85</v>
      </c>
      <c r="G15">
        <v>2813</v>
      </c>
      <c r="H15">
        <f t="shared" si="0"/>
        <v>239105</v>
      </c>
      <c r="K15" t="s">
        <v>64</v>
      </c>
      <c r="L15">
        <f t="shared" si="1"/>
        <v>781341</v>
      </c>
    </row>
    <row r="16" spans="1:12" x14ac:dyDescent="0.3">
      <c r="A16">
        <v>46157</v>
      </c>
      <c r="B16" t="s">
        <v>55</v>
      </c>
      <c r="C16" t="s">
        <v>96</v>
      </c>
      <c r="D16" t="s">
        <v>65</v>
      </c>
      <c r="E16" t="s">
        <v>66</v>
      </c>
      <c r="F16">
        <v>75</v>
      </c>
      <c r="G16">
        <v>1778</v>
      </c>
      <c r="H16">
        <f t="shared" si="0"/>
        <v>133350</v>
      </c>
      <c r="K16" t="s">
        <v>66</v>
      </c>
      <c r="L16">
        <f t="shared" si="1"/>
        <v>629015</v>
      </c>
    </row>
    <row r="17" spans="1:12" x14ac:dyDescent="0.3">
      <c r="A17">
        <v>46158</v>
      </c>
      <c r="B17" t="s">
        <v>49</v>
      </c>
      <c r="C17" t="s">
        <v>97</v>
      </c>
      <c r="D17" t="s">
        <v>56</v>
      </c>
      <c r="E17" t="s">
        <v>67</v>
      </c>
      <c r="F17">
        <v>79</v>
      </c>
      <c r="G17">
        <v>4036</v>
      </c>
      <c r="H17">
        <f t="shared" si="0"/>
        <v>318844</v>
      </c>
      <c r="K17" t="s">
        <v>67</v>
      </c>
      <c r="L17">
        <f t="shared" si="1"/>
        <v>629838</v>
      </c>
    </row>
    <row r="18" spans="1:12" x14ac:dyDescent="0.3">
      <c r="A18">
        <v>46159</v>
      </c>
      <c r="B18" t="s">
        <v>55</v>
      </c>
      <c r="C18" t="s">
        <v>98</v>
      </c>
      <c r="D18" t="s">
        <v>58</v>
      </c>
      <c r="E18" t="s">
        <v>68</v>
      </c>
      <c r="F18">
        <v>52</v>
      </c>
      <c r="G18">
        <v>3460</v>
      </c>
      <c r="H18">
        <f t="shared" si="0"/>
        <v>179920</v>
      </c>
      <c r="K18" t="s">
        <v>68</v>
      </c>
      <c r="L18">
        <f t="shared" si="1"/>
        <v>941517</v>
      </c>
    </row>
    <row r="19" spans="1:12" x14ac:dyDescent="0.3">
      <c r="A19">
        <v>46160</v>
      </c>
      <c r="B19" t="s">
        <v>55</v>
      </c>
      <c r="C19" t="s">
        <v>99</v>
      </c>
      <c r="D19" t="s">
        <v>60</v>
      </c>
      <c r="E19" t="s">
        <v>69</v>
      </c>
      <c r="F19">
        <v>84</v>
      </c>
      <c r="G19">
        <v>4849</v>
      </c>
      <c r="H19">
        <f t="shared" si="0"/>
        <v>407316</v>
      </c>
      <c r="K19" t="s">
        <v>69</v>
      </c>
      <c r="L19">
        <f t="shared" si="1"/>
        <v>901679</v>
      </c>
    </row>
    <row r="20" spans="1:12" x14ac:dyDescent="0.3">
      <c r="A20">
        <v>46161</v>
      </c>
      <c r="B20" t="s">
        <v>62</v>
      </c>
      <c r="C20" t="s">
        <v>100</v>
      </c>
      <c r="D20" t="s">
        <v>63</v>
      </c>
      <c r="E20" t="s">
        <v>70</v>
      </c>
      <c r="F20">
        <v>83</v>
      </c>
      <c r="G20">
        <v>2636</v>
      </c>
      <c r="H20">
        <f t="shared" si="0"/>
        <v>218788</v>
      </c>
      <c r="K20" t="s">
        <v>70</v>
      </c>
      <c r="L20">
        <f t="shared" si="1"/>
        <v>598788</v>
      </c>
    </row>
    <row r="21" spans="1:12" x14ac:dyDescent="0.3">
      <c r="A21">
        <v>46162</v>
      </c>
      <c r="B21" t="s">
        <v>55</v>
      </c>
      <c r="C21" t="s">
        <v>101</v>
      </c>
      <c r="D21" t="s">
        <v>65</v>
      </c>
      <c r="E21" t="s">
        <v>71</v>
      </c>
      <c r="F21">
        <v>86</v>
      </c>
      <c r="G21">
        <v>3371</v>
      </c>
      <c r="H21">
        <f t="shared" si="0"/>
        <v>289906</v>
      </c>
      <c r="K21" t="s">
        <v>71</v>
      </c>
      <c r="L21">
        <f t="shared" si="1"/>
        <v>827586</v>
      </c>
    </row>
    <row r="22" spans="1:12" x14ac:dyDescent="0.3">
      <c r="A22">
        <v>46163</v>
      </c>
      <c r="B22" t="s">
        <v>55</v>
      </c>
      <c r="C22" t="s">
        <v>102</v>
      </c>
      <c r="D22" t="s">
        <v>56</v>
      </c>
      <c r="E22" t="s">
        <v>76</v>
      </c>
      <c r="F22">
        <v>58</v>
      </c>
      <c r="G22">
        <v>3640</v>
      </c>
      <c r="H22">
        <f t="shared" si="0"/>
        <v>211120</v>
      </c>
      <c r="L22">
        <f>SUM(L2:L21)</f>
        <v>16510965</v>
      </c>
    </row>
    <row r="23" spans="1:12" x14ac:dyDescent="0.3">
      <c r="A23">
        <v>46164</v>
      </c>
      <c r="B23" t="s">
        <v>49</v>
      </c>
      <c r="C23" t="s">
        <v>103</v>
      </c>
      <c r="D23" t="s">
        <v>58</v>
      </c>
      <c r="E23" t="s">
        <v>81</v>
      </c>
      <c r="F23">
        <v>93</v>
      </c>
      <c r="G23">
        <v>4102</v>
      </c>
      <c r="H23">
        <f t="shared" si="0"/>
        <v>381486</v>
      </c>
    </row>
    <row r="24" spans="1:12" x14ac:dyDescent="0.3">
      <c r="A24">
        <v>46165</v>
      </c>
      <c r="B24" t="s">
        <v>55</v>
      </c>
      <c r="C24" t="s">
        <v>104</v>
      </c>
      <c r="D24" t="s">
        <v>60</v>
      </c>
      <c r="E24" t="s">
        <v>79</v>
      </c>
      <c r="F24">
        <v>65</v>
      </c>
      <c r="G24">
        <v>2083</v>
      </c>
      <c r="H24">
        <f t="shared" si="0"/>
        <v>135395</v>
      </c>
    </row>
    <row r="25" spans="1:12" x14ac:dyDescent="0.3">
      <c r="A25">
        <v>46166</v>
      </c>
      <c r="B25" t="s">
        <v>62</v>
      </c>
      <c r="C25" t="s">
        <v>105</v>
      </c>
      <c r="D25" t="s">
        <v>63</v>
      </c>
      <c r="E25" t="s">
        <v>75</v>
      </c>
      <c r="F25">
        <v>89</v>
      </c>
      <c r="G25">
        <v>4932</v>
      </c>
      <c r="H25">
        <f t="shared" si="0"/>
        <v>438948</v>
      </c>
    </row>
    <row r="26" spans="1:12" x14ac:dyDescent="0.3">
      <c r="A26">
        <v>46167</v>
      </c>
      <c r="B26" t="s">
        <v>55</v>
      </c>
      <c r="C26" t="s">
        <v>106</v>
      </c>
      <c r="D26" t="s">
        <v>65</v>
      </c>
      <c r="E26" t="s">
        <v>77</v>
      </c>
      <c r="F26">
        <v>64</v>
      </c>
      <c r="G26">
        <v>3699</v>
      </c>
      <c r="H26">
        <f t="shared" si="0"/>
        <v>236736</v>
      </c>
    </row>
    <row r="27" spans="1:12" x14ac:dyDescent="0.3">
      <c r="A27">
        <v>46168</v>
      </c>
      <c r="B27" t="s">
        <v>49</v>
      </c>
      <c r="C27" t="s">
        <v>107</v>
      </c>
      <c r="D27" t="s">
        <v>56</v>
      </c>
      <c r="E27" t="s">
        <v>72</v>
      </c>
      <c r="F27">
        <v>80</v>
      </c>
      <c r="G27">
        <v>4631</v>
      </c>
      <c r="H27">
        <f t="shared" si="0"/>
        <v>370480</v>
      </c>
    </row>
    <row r="28" spans="1:12" x14ac:dyDescent="0.3">
      <c r="A28">
        <v>46169</v>
      </c>
      <c r="B28" t="s">
        <v>55</v>
      </c>
      <c r="C28" t="s">
        <v>108</v>
      </c>
      <c r="D28" t="s">
        <v>58</v>
      </c>
      <c r="E28" t="s">
        <v>78</v>
      </c>
      <c r="F28">
        <v>72</v>
      </c>
      <c r="G28">
        <v>3257</v>
      </c>
      <c r="H28">
        <f t="shared" si="0"/>
        <v>234504</v>
      </c>
    </row>
    <row r="29" spans="1:12" x14ac:dyDescent="0.3">
      <c r="A29">
        <v>46170</v>
      </c>
      <c r="B29" t="s">
        <v>55</v>
      </c>
      <c r="C29" t="s">
        <v>109</v>
      </c>
      <c r="D29" t="s">
        <v>60</v>
      </c>
      <c r="E29" t="s">
        <v>80</v>
      </c>
      <c r="F29">
        <v>82</v>
      </c>
      <c r="G29">
        <v>2662</v>
      </c>
      <c r="H29">
        <f t="shared" si="0"/>
        <v>218284</v>
      </c>
    </row>
    <row r="30" spans="1:12" x14ac:dyDescent="0.3">
      <c r="A30">
        <v>46171</v>
      </c>
      <c r="B30" t="s">
        <v>62</v>
      </c>
      <c r="C30" t="s">
        <v>110</v>
      </c>
      <c r="D30" t="s">
        <v>63</v>
      </c>
      <c r="E30" t="s">
        <v>74</v>
      </c>
      <c r="F30">
        <v>76</v>
      </c>
      <c r="G30">
        <v>2848</v>
      </c>
      <c r="H30">
        <f t="shared" si="0"/>
        <v>216448</v>
      </c>
    </row>
    <row r="31" spans="1:12" x14ac:dyDescent="0.3">
      <c r="A31">
        <v>46172</v>
      </c>
      <c r="B31" t="s">
        <v>55</v>
      </c>
      <c r="C31" t="s">
        <v>111</v>
      </c>
      <c r="D31" t="s">
        <v>65</v>
      </c>
      <c r="E31" t="s">
        <v>73</v>
      </c>
      <c r="F31">
        <v>57</v>
      </c>
      <c r="G31">
        <v>2980</v>
      </c>
      <c r="H31">
        <f t="shared" si="0"/>
        <v>169860</v>
      </c>
    </row>
    <row r="32" spans="1:12" x14ac:dyDescent="0.3">
      <c r="A32">
        <v>46173</v>
      </c>
      <c r="B32" t="s">
        <v>55</v>
      </c>
      <c r="C32" t="s">
        <v>112</v>
      </c>
      <c r="D32" t="s">
        <v>56</v>
      </c>
      <c r="E32" t="s">
        <v>57</v>
      </c>
      <c r="F32">
        <v>84</v>
      </c>
      <c r="G32">
        <v>3850</v>
      </c>
      <c r="H32">
        <f t="shared" si="0"/>
        <v>323400</v>
      </c>
    </row>
    <row r="33" spans="1:8" x14ac:dyDescent="0.3">
      <c r="A33">
        <v>46174</v>
      </c>
      <c r="B33" t="s">
        <v>49</v>
      </c>
      <c r="C33" t="s">
        <v>113</v>
      </c>
      <c r="D33" t="s">
        <v>58</v>
      </c>
      <c r="E33" t="s">
        <v>59</v>
      </c>
      <c r="F33">
        <v>98</v>
      </c>
      <c r="G33">
        <v>1889</v>
      </c>
      <c r="H33">
        <f t="shared" si="0"/>
        <v>185122</v>
      </c>
    </row>
    <row r="34" spans="1:8" x14ac:dyDescent="0.3">
      <c r="A34">
        <v>46175</v>
      </c>
      <c r="B34" t="s">
        <v>55</v>
      </c>
      <c r="C34" t="s">
        <v>114</v>
      </c>
      <c r="D34" t="s">
        <v>60</v>
      </c>
      <c r="E34" t="s">
        <v>61</v>
      </c>
      <c r="F34">
        <v>57</v>
      </c>
      <c r="G34">
        <v>3647</v>
      </c>
      <c r="H34">
        <f t="shared" si="0"/>
        <v>207879</v>
      </c>
    </row>
    <row r="35" spans="1:8" x14ac:dyDescent="0.3">
      <c r="A35">
        <v>46176</v>
      </c>
      <c r="B35" t="s">
        <v>62</v>
      </c>
      <c r="C35" t="s">
        <v>115</v>
      </c>
      <c r="D35" t="s">
        <v>63</v>
      </c>
      <c r="E35" t="s">
        <v>64</v>
      </c>
      <c r="F35">
        <v>82</v>
      </c>
      <c r="G35">
        <v>2008</v>
      </c>
      <c r="H35">
        <f t="shared" si="0"/>
        <v>164656</v>
      </c>
    </row>
    <row r="36" spans="1:8" x14ac:dyDescent="0.3">
      <c r="A36">
        <v>46177</v>
      </c>
      <c r="B36" t="s">
        <v>55</v>
      </c>
      <c r="C36" t="s">
        <v>116</v>
      </c>
      <c r="D36" t="s">
        <v>65</v>
      </c>
      <c r="E36" t="s">
        <v>66</v>
      </c>
      <c r="F36">
        <v>59</v>
      </c>
      <c r="G36">
        <v>4205</v>
      </c>
      <c r="H36">
        <f t="shared" si="0"/>
        <v>248095</v>
      </c>
    </row>
    <row r="37" spans="1:8" x14ac:dyDescent="0.3">
      <c r="A37">
        <v>46178</v>
      </c>
      <c r="B37" t="s">
        <v>49</v>
      </c>
      <c r="C37" t="s">
        <v>117</v>
      </c>
      <c r="D37" t="s">
        <v>56</v>
      </c>
      <c r="E37" t="s">
        <v>67</v>
      </c>
      <c r="F37">
        <v>67</v>
      </c>
      <c r="G37">
        <v>3307</v>
      </c>
      <c r="H37">
        <f t="shared" si="0"/>
        <v>221569</v>
      </c>
    </row>
    <row r="38" spans="1:8" x14ac:dyDescent="0.3">
      <c r="A38">
        <v>46179</v>
      </c>
      <c r="B38" t="s">
        <v>55</v>
      </c>
      <c r="C38" t="s">
        <v>118</v>
      </c>
      <c r="D38" t="s">
        <v>58</v>
      </c>
      <c r="E38" t="s">
        <v>68</v>
      </c>
      <c r="F38">
        <v>89</v>
      </c>
      <c r="G38">
        <v>3973</v>
      </c>
      <c r="H38">
        <f t="shared" si="0"/>
        <v>353597</v>
      </c>
    </row>
    <row r="39" spans="1:8" x14ac:dyDescent="0.3">
      <c r="A39">
        <v>46180</v>
      </c>
      <c r="B39" t="s">
        <v>55</v>
      </c>
      <c r="C39" t="s">
        <v>119</v>
      </c>
      <c r="D39" t="s">
        <v>60</v>
      </c>
      <c r="E39" t="s">
        <v>69</v>
      </c>
      <c r="F39">
        <v>87</v>
      </c>
      <c r="G39">
        <v>2151</v>
      </c>
      <c r="H39">
        <f t="shared" si="0"/>
        <v>187137</v>
      </c>
    </row>
    <row r="40" spans="1:8" x14ac:dyDescent="0.3">
      <c r="A40">
        <v>46181</v>
      </c>
      <c r="B40" t="s">
        <v>62</v>
      </c>
      <c r="C40" t="s">
        <v>120</v>
      </c>
      <c r="D40" t="s">
        <v>63</v>
      </c>
      <c r="E40" t="s">
        <v>70</v>
      </c>
      <c r="F40">
        <v>86</v>
      </c>
      <c r="G40">
        <v>2975</v>
      </c>
      <c r="H40">
        <f t="shared" si="0"/>
        <v>255850</v>
      </c>
    </row>
    <row r="41" spans="1:8" x14ac:dyDescent="0.3">
      <c r="A41">
        <v>46182</v>
      </c>
      <c r="B41" t="s">
        <v>55</v>
      </c>
      <c r="C41" t="s">
        <v>121</v>
      </c>
      <c r="D41" t="s">
        <v>65</v>
      </c>
      <c r="E41" t="s">
        <v>71</v>
      </c>
      <c r="F41">
        <v>48</v>
      </c>
      <c r="G41">
        <v>4565</v>
      </c>
      <c r="H41">
        <f t="shared" si="0"/>
        <v>219120</v>
      </c>
    </row>
    <row r="42" spans="1:8" x14ac:dyDescent="0.3">
      <c r="A42">
        <v>46183</v>
      </c>
      <c r="B42" t="s">
        <v>55</v>
      </c>
      <c r="C42" t="s">
        <v>122</v>
      </c>
      <c r="D42" t="s">
        <v>56</v>
      </c>
      <c r="E42" t="s">
        <v>76</v>
      </c>
      <c r="F42">
        <v>91</v>
      </c>
      <c r="G42">
        <v>3653</v>
      </c>
      <c r="H42">
        <f t="shared" si="0"/>
        <v>332423</v>
      </c>
    </row>
    <row r="43" spans="1:8" x14ac:dyDescent="0.3">
      <c r="A43">
        <v>46184</v>
      </c>
      <c r="B43" t="s">
        <v>49</v>
      </c>
      <c r="C43" t="s">
        <v>123</v>
      </c>
      <c r="D43" t="s">
        <v>58</v>
      </c>
      <c r="E43" t="s">
        <v>81</v>
      </c>
      <c r="F43">
        <v>65</v>
      </c>
      <c r="G43">
        <v>3992</v>
      </c>
      <c r="H43">
        <f t="shared" si="0"/>
        <v>259480</v>
      </c>
    </row>
    <row r="44" spans="1:8" x14ac:dyDescent="0.3">
      <c r="A44">
        <v>46185</v>
      </c>
      <c r="B44" t="s">
        <v>55</v>
      </c>
      <c r="C44" t="s">
        <v>124</v>
      </c>
      <c r="D44" t="s">
        <v>60</v>
      </c>
      <c r="E44" t="s">
        <v>79</v>
      </c>
      <c r="F44">
        <v>63</v>
      </c>
      <c r="G44">
        <v>2673</v>
      </c>
      <c r="H44">
        <f t="shared" si="0"/>
        <v>168399</v>
      </c>
    </row>
    <row r="45" spans="1:8" x14ac:dyDescent="0.3">
      <c r="A45">
        <v>46186</v>
      </c>
      <c r="B45" t="s">
        <v>62</v>
      </c>
      <c r="C45" t="s">
        <v>125</v>
      </c>
      <c r="D45" t="s">
        <v>63</v>
      </c>
      <c r="E45" t="s">
        <v>75</v>
      </c>
      <c r="F45">
        <v>57</v>
      </c>
      <c r="G45">
        <v>2712</v>
      </c>
      <c r="H45">
        <f t="shared" si="0"/>
        <v>154584</v>
      </c>
    </row>
    <row r="46" spans="1:8" x14ac:dyDescent="0.3">
      <c r="A46">
        <v>46187</v>
      </c>
      <c r="B46" t="s">
        <v>55</v>
      </c>
      <c r="C46" t="s">
        <v>126</v>
      </c>
      <c r="D46" t="s">
        <v>65</v>
      </c>
      <c r="E46" t="s">
        <v>77</v>
      </c>
      <c r="F46">
        <v>65</v>
      </c>
      <c r="G46">
        <v>2492</v>
      </c>
      <c r="H46">
        <f t="shared" si="0"/>
        <v>161980</v>
      </c>
    </row>
    <row r="47" spans="1:8" x14ac:dyDescent="0.3">
      <c r="A47">
        <v>46188</v>
      </c>
      <c r="B47" t="s">
        <v>49</v>
      </c>
      <c r="C47" t="s">
        <v>127</v>
      </c>
      <c r="D47" t="s">
        <v>56</v>
      </c>
      <c r="E47" t="s">
        <v>72</v>
      </c>
      <c r="F47">
        <v>57</v>
      </c>
      <c r="G47">
        <v>4933</v>
      </c>
      <c r="H47">
        <f t="shared" si="0"/>
        <v>281181</v>
      </c>
    </row>
    <row r="48" spans="1:8" x14ac:dyDescent="0.3">
      <c r="A48">
        <v>46189</v>
      </c>
      <c r="B48" t="s">
        <v>55</v>
      </c>
      <c r="C48" t="s">
        <v>128</v>
      </c>
      <c r="D48" t="s">
        <v>58</v>
      </c>
      <c r="E48" t="s">
        <v>78</v>
      </c>
      <c r="F48">
        <v>53</v>
      </c>
      <c r="G48">
        <v>3727</v>
      </c>
      <c r="H48">
        <f t="shared" si="0"/>
        <v>197531</v>
      </c>
    </row>
    <row r="49" spans="1:8" x14ac:dyDescent="0.3">
      <c r="A49">
        <v>46190</v>
      </c>
      <c r="B49" t="s">
        <v>55</v>
      </c>
      <c r="C49" t="s">
        <v>129</v>
      </c>
      <c r="D49" t="s">
        <v>60</v>
      </c>
      <c r="E49" t="s">
        <v>80</v>
      </c>
      <c r="F49">
        <v>52</v>
      </c>
      <c r="G49">
        <v>3454</v>
      </c>
      <c r="H49">
        <f t="shared" si="0"/>
        <v>179608</v>
      </c>
    </row>
    <row r="50" spans="1:8" x14ac:dyDescent="0.3">
      <c r="A50">
        <v>46191</v>
      </c>
      <c r="B50" t="s">
        <v>62</v>
      </c>
      <c r="C50" t="s">
        <v>130</v>
      </c>
      <c r="D50" t="s">
        <v>63</v>
      </c>
      <c r="E50" t="s">
        <v>74</v>
      </c>
      <c r="F50">
        <v>48</v>
      </c>
      <c r="G50">
        <v>2615</v>
      </c>
      <c r="H50">
        <f t="shared" si="0"/>
        <v>125520</v>
      </c>
    </row>
    <row r="51" spans="1:8" x14ac:dyDescent="0.3">
      <c r="A51">
        <v>46192</v>
      </c>
      <c r="B51" t="s">
        <v>55</v>
      </c>
      <c r="C51" t="s">
        <v>131</v>
      </c>
      <c r="D51" t="s">
        <v>65</v>
      </c>
      <c r="E51" t="s">
        <v>73</v>
      </c>
      <c r="F51">
        <v>64</v>
      </c>
      <c r="G51">
        <v>4211</v>
      </c>
      <c r="H51">
        <f t="shared" si="0"/>
        <v>269504</v>
      </c>
    </row>
    <row r="52" spans="1:8" x14ac:dyDescent="0.3">
      <c r="A52">
        <v>46193</v>
      </c>
      <c r="B52" t="s">
        <v>55</v>
      </c>
      <c r="C52" t="s">
        <v>132</v>
      </c>
      <c r="D52" t="s">
        <v>56</v>
      </c>
      <c r="E52" t="s">
        <v>57</v>
      </c>
      <c r="F52">
        <v>72</v>
      </c>
      <c r="G52">
        <v>4535</v>
      </c>
      <c r="H52">
        <f t="shared" si="0"/>
        <v>326520</v>
      </c>
    </row>
    <row r="53" spans="1:8" x14ac:dyDescent="0.3">
      <c r="A53">
        <v>46194</v>
      </c>
      <c r="B53" t="s">
        <v>49</v>
      </c>
      <c r="C53" t="s">
        <v>133</v>
      </c>
      <c r="D53" t="s">
        <v>58</v>
      </c>
      <c r="E53" t="s">
        <v>59</v>
      </c>
      <c r="F53">
        <v>60</v>
      </c>
      <c r="G53">
        <v>1918</v>
      </c>
      <c r="H53">
        <f t="shared" si="0"/>
        <v>115080</v>
      </c>
    </row>
    <row r="54" spans="1:8" x14ac:dyDescent="0.3">
      <c r="A54">
        <v>46195</v>
      </c>
      <c r="B54" t="s">
        <v>55</v>
      </c>
      <c r="C54" t="s">
        <v>134</v>
      </c>
      <c r="D54" t="s">
        <v>60</v>
      </c>
      <c r="E54" t="s">
        <v>61</v>
      </c>
      <c r="F54">
        <v>71</v>
      </c>
      <c r="G54">
        <v>5011</v>
      </c>
      <c r="H54">
        <f t="shared" si="0"/>
        <v>355781</v>
      </c>
    </row>
    <row r="55" spans="1:8" x14ac:dyDescent="0.3">
      <c r="A55">
        <v>46196</v>
      </c>
      <c r="B55" t="s">
        <v>62</v>
      </c>
      <c r="C55" t="s">
        <v>135</v>
      </c>
      <c r="D55" t="s">
        <v>63</v>
      </c>
      <c r="E55" t="s">
        <v>64</v>
      </c>
      <c r="F55">
        <v>70</v>
      </c>
      <c r="G55">
        <v>5394</v>
      </c>
      <c r="H55">
        <f t="shared" si="0"/>
        <v>377580</v>
      </c>
    </row>
    <row r="56" spans="1:8" x14ac:dyDescent="0.3">
      <c r="A56">
        <v>46197</v>
      </c>
      <c r="B56" t="s">
        <v>55</v>
      </c>
      <c r="C56" t="s">
        <v>136</v>
      </c>
      <c r="D56" t="s">
        <v>65</v>
      </c>
      <c r="E56" t="s">
        <v>66</v>
      </c>
      <c r="F56">
        <v>95</v>
      </c>
      <c r="G56">
        <v>2606</v>
      </c>
      <c r="H56">
        <f t="shared" si="0"/>
        <v>247570</v>
      </c>
    </row>
    <row r="57" spans="1:8" x14ac:dyDescent="0.3">
      <c r="A57">
        <v>46198</v>
      </c>
      <c r="B57" t="s">
        <v>49</v>
      </c>
      <c r="C57" t="s">
        <v>137</v>
      </c>
      <c r="D57" t="s">
        <v>56</v>
      </c>
      <c r="E57" t="s">
        <v>67</v>
      </c>
      <c r="F57">
        <v>49</v>
      </c>
      <c r="G57">
        <v>1825</v>
      </c>
      <c r="H57">
        <f t="shared" si="0"/>
        <v>89425</v>
      </c>
    </row>
    <row r="58" spans="1:8" x14ac:dyDescent="0.3">
      <c r="A58">
        <v>46199</v>
      </c>
      <c r="B58" t="s">
        <v>55</v>
      </c>
      <c r="C58" t="s">
        <v>138</v>
      </c>
      <c r="D58" t="s">
        <v>58</v>
      </c>
      <c r="E58" t="s">
        <v>68</v>
      </c>
      <c r="F58">
        <v>80</v>
      </c>
      <c r="G58">
        <v>5100</v>
      </c>
      <c r="H58">
        <f t="shared" si="0"/>
        <v>408000</v>
      </c>
    </row>
    <row r="59" spans="1:8" x14ac:dyDescent="0.3">
      <c r="A59">
        <v>46200</v>
      </c>
      <c r="B59" t="s">
        <v>55</v>
      </c>
      <c r="C59" t="s">
        <v>139</v>
      </c>
      <c r="D59" t="s">
        <v>60</v>
      </c>
      <c r="E59" t="s">
        <v>69</v>
      </c>
      <c r="F59">
        <v>58</v>
      </c>
      <c r="G59">
        <v>5297</v>
      </c>
      <c r="H59">
        <f t="shared" si="0"/>
        <v>307226</v>
      </c>
    </row>
    <row r="60" spans="1:8" x14ac:dyDescent="0.3">
      <c r="A60">
        <v>46201</v>
      </c>
      <c r="B60" t="s">
        <v>62</v>
      </c>
      <c r="C60" t="s">
        <v>140</v>
      </c>
      <c r="D60" t="s">
        <v>63</v>
      </c>
      <c r="E60" t="s">
        <v>70</v>
      </c>
      <c r="F60">
        <v>65</v>
      </c>
      <c r="G60">
        <v>1910</v>
      </c>
      <c r="H60">
        <f t="shared" si="0"/>
        <v>124150</v>
      </c>
    </row>
    <row r="61" spans="1:8" x14ac:dyDescent="0.3">
      <c r="A61">
        <v>46202</v>
      </c>
      <c r="B61" t="s">
        <v>55</v>
      </c>
      <c r="C61" t="s">
        <v>141</v>
      </c>
      <c r="D61" t="s">
        <v>65</v>
      </c>
      <c r="E61" t="s">
        <v>71</v>
      </c>
      <c r="F61">
        <v>80</v>
      </c>
      <c r="G61">
        <v>3982</v>
      </c>
      <c r="H61">
        <f t="shared" si="0"/>
        <v>318560</v>
      </c>
    </row>
    <row r="62" spans="1:8" x14ac:dyDescent="0.3">
      <c r="A62">
        <v>46203</v>
      </c>
      <c r="B62" t="s">
        <v>55</v>
      </c>
      <c r="C62" t="s">
        <v>142</v>
      </c>
      <c r="D62" t="s">
        <v>56</v>
      </c>
      <c r="E62" t="s">
        <v>76</v>
      </c>
      <c r="F62">
        <v>88</v>
      </c>
      <c r="G62">
        <v>1727</v>
      </c>
      <c r="H62">
        <f t="shared" si="0"/>
        <v>151976</v>
      </c>
    </row>
    <row r="63" spans="1:8" x14ac:dyDescent="0.3">
      <c r="A63">
        <v>46204</v>
      </c>
      <c r="B63" t="s">
        <v>49</v>
      </c>
      <c r="C63" t="s">
        <v>143</v>
      </c>
      <c r="D63" t="s">
        <v>58</v>
      </c>
      <c r="E63" t="s">
        <v>81</v>
      </c>
      <c r="F63">
        <v>51</v>
      </c>
      <c r="G63">
        <v>1693</v>
      </c>
      <c r="H63">
        <f t="shared" si="0"/>
        <v>86343</v>
      </c>
    </row>
    <row r="64" spans="1:8" x14ac:dyDescent="0.3">
      <c r="A64">
        <v>46205</v>
      </c>
      <c r="B64" t="s">
        <v>55</v>
      </c>
      <c r="C64" t="s">
        <v>144</v>
      </c>
      <c r="D64" t="s">
        <v>60</v>
      </c>
      <c r="E64" t="s">
        <v>79</v>
      </c>
      <c r="F64">
        <v>49</v>
      </c>
      <c r="G64">
        <v>1526</v>
      </c>
      <c r="H64">
        <f t="shared" si="0"/>
        <v>74774</v>
      </c>
    </row>
    <row r="65" spans="1:8" x14ac:dyDescent="0.3">
      <c r="A65">
        <v>46206</v>
      </c>
      <c r="B65" t="s">
        <v>62</v>
      </c>
      <c r="C65" t="s">
        <v>145</v>
      </c>
      <c r="D65" t="s">
        <v>63</v>
      </c>
      <c r="E65" t="s">
        <v>75</v>
      </c>
      <c r="F65">
        <v>60</v>
      </c>
      <c r="G65">
        <v>3631</v>
      </c>
      <c r="H65">
        <f t="shared" si="0"/>
        <v>217860</v>
      </c>
    </row>
    <row r="66" spans="1:8" x14ac:dyDescent="0.3">
      <c r="A66">
        <v>46207</v>
      </c>
      <c r="B66" t="s">
        <v>55</v>
      </c>
      <c r="C66" t="s">
        <v>146</v>
      </c>
      <c r="D66" t="s">
        <v>65</v>
      </c>
      <c r="E66" t="s">
        <v>77</v>
      </c>
      <c r="F66">
        <v>76</v>
      </c>
      <c r="G66">
        <v>1772</v>
      </c>
      <c r="H66">
        <f t="shared" si="0"/>
        <v>134672</v>
      </c>
    </row>
    <row r="67" spans="1:8" x14ac:dyDescent="0.3">
      <c r="A67">
        <v>46208</v>
      </c>
      <c r="B67" t="s">
        <v>49</v>
      </c>
      <c r="C67" t="s">
        <v>147</v>
      </c>
      <c r="D67" t="s">
        <v>56</v>
      </c>
      <c r="E67" t="s">
        <v>72</v>
      </c>
      <c r="F67">
        <v>82</v>
      </c>
      <c r="G67">
        <v>1878</v>
      </c>
      <c r="H67">
        <f t="shared" ref="H67:H71" si="2">F67*G67</f>
        <v>153996</v>
      </c>
    </row>
    <row r="68" spans="1:8" x14ac:dyDescent="0.3">
      <c r="A68">
        <v>46209</v>
      </c>
      <c r="B68" t="s">
        <v>55</v>
      </c>
      <c r="C68" t="s">
        <v>148</v>
      </c>
      <c r="D68" t="s">
        <v>58</v>
      </c>
      <c r="E68" t="s">
        <v>78</v>
      </c>
      <c r="F68">
        <v>63</v>
      </c>
      <c r="G68">
        <v>3820</v>
      </c>
      <c r="H68">
        <f t="shared" si="2"/>
        <v>240660</v>
      </c>
    </row>
    <row r="69" spans="1:8" x14ac:dyDescent="0.3">
      <c r="A69">
        <v>46210</v>
      </c>
      <c r="B69" t="s">
        <v>55</v>
      </c>
      <c r="C69" t="s">
        <v>149</v>
      </c>
      <c r="D69" t="s">
        <v>60</v>
      </c>
      <c r="E69" t="s">
        <v>80</v>
      </c>
      <c r="F69">
        <v>65</v>
      </c>
      <c r="G69">
        <v>1626</v>
      </c>
      <c r="H69">
        <f t="shared" si="2"/>
        <v>105690</v>
      </c>
    </row>
    <row r="70" spans="1:8" x14ac:dyDescent="0.3">
      <c r="A70">
        <v>46211</v>
      </c>
      <c r="B70" t="s">
        <v>62</v>
      </c>
      <c r="C70" t="s">
        <v>150</v>
      </c>
      <c r="D70" t="s">
        <v>63</v>
      </c>
      <c r="E70" t="s">
        <v>74</v>
      </c>
      <c r="F70">
        <v>50</v>
      </c>
      <c r="G70">
        <v>2030</v>
      </c>
      <c r="H70">
        <f t="shared" si="2"/>
        <v>101500</v>
      </c>
    </row>
    <row r="71" spans="1:8" x14ac:dyDescent="0.3">
      <c r="A71">
        <v>46212</v>
      </c>
      <c r="B71" t="s">
        <v>55</v>
      </c>
      <c r="C71" t="s">
        <v>151</v>
      </c>
      <c r="D71" t="s">
        <v>65</v>
      </c>
      <c r="E71" t="s">
        <v>73</v>
      </c>
      <c r="F71">
        <v>75</v>
      </c>
      <c r="G71">
        <v>1740</v>
      </c>
      <c r="H71">
        <f t="shared" si="2"/>
        <v>130500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354E1-5B94-4541-BDDA-646DA3A705EE}">
  <dimension ref="A1:H71"/>
  <sheetViews>
    <sheetView tabSelected="1" workbookViewId="0">
      <selection activeCell="A2" sqref="A2"/>
    </sheetView>
  </sheetViews>
  <sheetFormatPr defaultRowHeight="14.4" x14ac:dyDescent="0.3"/>
  <cols>
    <col min="1" max="1" width="10.33203125" bestFit="1" customWidth="1"/>
    <col min="2" max="2" width="7" bestFit="1" customWidth="1"/>
    <col min="3" max="3" width="8.6640625" bestFit="1" customWidth="1"/>
    <col min="4" max="4" width="5.33203125" bestFit="1" customWidth="1"/>
    <col min="5" max="6" width="8.33203125" bestFit="1" customWidth="1"/>
    <col min="7" max="7" width="8.21875" bestFit="1" customWidth="1"/>
    <col min="8" max="8" width="8.88671875" bestFit="1" customWidth="1"/>
  </cols>
  <sheetData>
    <row r="1" spans="1:8" ht="19.95" customHeight="1" x14ac:dyDescent="0.3">
      <c r="A1" s="12" t="s">
        <v>48</v>
      </c>
      <c r="B1" s="12" t="s">
        <v>50</v>
      </c>
      <c r="C1" s="12" t="s">
        <v>168</v>
      </c>
      <c r="D1" s="12" t="s">
        <v>52</v>
      </c>
      <c r="E1" s="12" t="s">
        <v>53</v>
      </c>
      <c r="F1" s="12" t="s">
        <v>54</v>
      </c>
      <c r="G1" s="12" t="s">
        <v>153</v>
      </c>
      <c r="H1" s="12" t="s">
        <v>152</v>
      </c>
    </row>
    <row r="2" spans="1:8" x14ac:dyDescent="0.3">
      <c r="A2" s="3">
        <v>46023</v>
      </c>
      <c r="B2" s="1" t="s">
        <v>55</v>
      </c>
      <c r="C2" s="1">
        <v>1001</v>
      </c>
      <c r="D2" s="1" t="s">
        <v>160</v>
      </c>
      <c r="E2" s="1" t="s">
        <v>161</v>
      </c>
      <c r="F2" s="1">
        <v>1</v>
      </c>
      <c r="G2" s="1">
        <v>100</v>
      </c>
      <c r="H2" s="1">
        <v>100</v>
      </c>
    </row>
    <row r="3" spans="1:8" x14ac:dyDescent="0.3">
      <c r="A3" s="3">
        <v>46024</v>
      </c>
      <c r="B3" s="1" t="s">
        <v>55</v>
      </c>
      <c r="C3" s="1">
        <v>1002</v>
      </c>
      <c r="D3" s="1" t="s">
        <v>162</v>
      </c>
      <c r="E3" s="1" t="s">
        <v>163</v>
      </c>
      <c r="F3" s="1">
        <v>2</v>
      </c>
      <c r="G3" s="1">
        <v>150</v>
      </c>
      <c r="H3" s="1">
        <v>300</v>
      </c>
    </row>
    <row r="4" spans="1:8" x14ac:dyDescent="0.3">
      <c r="A4" s="3">
        <v>46025</v>
      </c>
      <c r="B4" s="1" t="s">
        <v>55</v>
      </c>
      <c r="C4" s="1">
        <v>1003</v>
      </c>
      <c r="D4" s="1" t="s">
        <v>164</v>
      </c>
      <c r="E4" s="1" t="s">
        <v>76</v>
      </c>
      <c r="F4" s="1">
        <v>3</v>
      </c>
      <c r="G4" s="1">
        <v>200</v>
      </c>
      <c r="H4" s="1">
        <v>600</v>
      </c>
    </row>
    <row r="5" spans="1:8" x14ac:dyDescent="0.3">
      <c r="A5" s="3">
        <v>46026</v>
      </c>
      <c r="B5" s="1" t="s">
        <v>55</v>
      </c>
      <c r="C5" s="1">
        <v>1004</v>
      </c>
      <c r="D5" s="1" t="s">
        <v>165</v>
      </c>
      <c r="E5" s="1" t="s">
        <v>166</v>
      </c>
      <c r="F5" s="1">
        <v>4</v>
      </c>
      <c r="G5" s="1">
        <v>250</v>
      </c>
      <c r="H5" s="1">
        <v>1000</v>
      </c>
    </row>
    <row r="6" spans="1:8" x14ac:dyDescent="0.3">
      <c r="A6" s="3">
        <v>46027</v>
      </c>
      <c r="B6" s="1" t="s">
        <v>55</v>
      </c>
      <c r="C6" s="1">
        <v>1005</v>
      </c>
      <c r="D6" s="1" t="s">
        <v>167</v>
      </c>
      <c r="E6" s="1" t="s">
        <v>77</v>
      </c>
      <c r="F6" s="1">
        <v>5</v>
      </c>
      <c r="G6" s="1">
        <v>300</v>
      </c>
      <c r="H6" s="1">
        <v>1500</v>
      </c>
    </row>
    <row r="7" spans="1:8" x14ac:dyDescent="0.3">
      <c r="A7" s="3">
        <v>46028</v>
      </c>
      <c r="B7" s="1" t="s">
        <v>55</v>
      </c>
      <c r="C7" s="1">
        <v>1006</v>
      </c>
      <c r="D7" s="1" t="s">
        <v>160</v>
      </c>
      <c r="E7" s="1" t="s">
        <v>161</v>
      </c>
      <c r="F7" s="1">
        <v>6</v>
      </c>
      <c r="G7" s="1">
        <v>350</v>
      </c>
      <c r="H7" s="1">
        <v>2100</v>
      </c>
    </row>
    <row r="8" spans="1:8" x14ac:dyDescent="0.3">
      <c r="A8" s="3">
        <v>46029</v>
      </c>
      <c r="B8" s="1" t="s">
        <v>55</v>
      </c>
      <c r="C8" s="1">
        <v>1007</v>
      </c>
      <c r="D8" s="1" t="s">
        <v>162</v>
      </c>
      <c r="E8" s="1" t="s">
        <v>163</v>
      </c>
      <c r="F8" s="1">
        <v>7</v>
      </c>
      <c r="G8" s="1">
        <v>400</v>
      </c>
      <c r="H8" s="1">
        <v>2800</v>
      </c>
    </row>
    <row r="9" spans="1:8" x14ac:dyDescent="0.3">
      <c r="A9" s="3">
        <v>46030</v>
      </c>
      <c r="B9" s="1" t="s">
        <v>55</v>
      </c>
      <c r="C9" s="1">
        <v>1008</v>
      </c>
      <c r="D9" s="1" t="s">
        <v>164</v>
      </c>
      <c r="E9" s="1" t="s">
        <v>76</v>
      </c>
      <c r="F9" s="1">
        <v>8</v>
      </c>
      <c r="G9" s="1">
        <v>450</v>
      </c>
      <c r="H9" s="1">
        <v>3600</v>
      </c>
    </row>
    <row r="10" spans="1:8" x14ac:dyDescent="0.3">
      <c r="A10" s="3">
        <v>46031</v>
      </c>
      <c r="B10" s="1" t="s">
        <v>55</v>
      </c>
      <c r="C10" s="1">
        <v>1009</v>
      </c>
      <c r="D10" s="1" t="s">
        <v>165</v>
      </c>
      <c r="E10" s="1" t="s">
        <v>166</v>
      </c>
      <c r="F10" s="1">
        <v>9</v>
      </c>
      <c r="G10" s="1">
        <v>500</v>
      </c>
      <c r="H10" s="1">
        <v>4500</v>
      </c>
    </row>
    <row r="11" spans="1:8" x14ac:dyDescent="0.3">
      <c r="A11" s="3">
        <v>46032</v>
      </c>
      <c r="B11" s="1" t="s">
        <v>55</v>
      </c>
      <c r="C11" s="1">
        <v>1010</v>
      </c>
      <c r="D11" s="1" t="s">
        <v>167</v>
      </c>
      <c r="E11" s="1" t="s">
        <v>77</v>
      </c>
      <c r="F11" s="1">
        <v>10</v>
      </c>
      <c r="G11" s="1">
        <v>550</v>
      </c>
      <c r="H11" s="1">
        <v>5500</v>
      </c>
    </row>
    <row r="12" spans="1:8" x14ac:dyDescent="0.3">
      <c r="A12" s="3">
        <v>46033</v>
      </c>
      <c r="B12" s="1" t="s">
        <v>55</v>
      </c>
      <c r="C12" s="1">
        <v>1011</v>
      </c>
      <c r="D12" s="1" t="s">
        <v>160</v>
      </c>
      <c r="E12" s="1" t="s">
        <v>161</v>
      </c>
      <c r="F12" s="1">
        <v>1</v>
      </c>
      <c r="G12" s="1">
        <v>100</v>
      </c>
      <c r="H12" s="1">
        <v>100</v>
      </c>
    </row>
    <row r="13" spans="1:8" x14ac:dyDescent="0.3">
      <c r="A13" s="3">
        <v>46034</v>
      </c>
      <c r="B13" s="1" t="s">
        <v>55</v>
      </c>
      <c r="C13" s="1">
        <v>1012</v>
      </c>
      <c r="D13" s="1" t="s">
        <v>162</v>
      </c>
      <c r="E13" s="1" t="s">
        <v>163</v>
      </c>
      <c r="F13" s="1">
        <v>2</v>
      </c>
      <c r="G13" s="1">
        <v>150</v>
      </c>
      <c r="H13" s="1">
        <v>300</v>
      </c>
    </row>
    <row r="14" spans="1:8" x14ac:dyDescent="0.3">
      <c r="A14" s="3">
        <v>46035</v>
      </c>
      <c r="B14" s="1" t="s">
        <v>55</v>
      </c>
      <c r="C14" s="1">
        <v>1013</v>
      </c>
      <c r="D14" s="1" t="s">
        <v>164</v>
      </c>
      <c r="E14" s="1" t="s">
        <v>76</v>
      </c>
      <c r="F14" s="1">
        <v>3</v>
      </c>
      <c r="G14" s="1">
        <v>200</v>
      </c>
      <c r="H14" s="1">
        <v>600</v>
      </c>
    </row>
    <row r="15" spans="1:8" x14ac:dyDescent="0.3">
      <c r="A15" s="3">
        <v>46036</v>
      </c>
      <c r="B15" s="1" t="s">
        <v>55</v>
      </c>
      <c r="C15" s="1">
        <v>1014</v>
      </c>
      <c r="D15" s="1" t="s">
        <v>165</v>
      </c>
      <c r="E15" s="1" t="s">
        <v>166</v>
      </c>
      <c r="F15" s="1">
        <v>4</v>
      </c>
      <c r="G15" s="1">
        <v>250</v>
      </c>
      <c r="H15" s="1">
        <v>1000</v>
      </c>
    </row>
    <row r="16" spans="1:8" x14ac:dyDescent="0.3">
      <c r="A16" s="3">
        <v>46037</v>
      </c>
      <c r="B16" s="1" t="s">
        <v>55</v>
      </c>
      <c r="C16" s="1">
        <v>1015</v>
      </c>
      <c r="D16" s="1" t="s">
        <v>167</v>
      </c>
      <c r="E16" s="1" t="s">
        <v>77</v>
      </c>
      <c r="F16" s="1">
        <v>5</v>
      </c>
      <c r="G16" s="1">
        <v>300</v>
      </c>
      <c r="H16" s="1">
        <v>1500</v>
      </c>
    </row>
    <row r="17" spans="1:8" x14ac:dyDescent="0.3">
      <c r="A17" s="3">
        <v>46038</v>
      </c>
      <c r="B17" s="1" t="s">
        <v>55</v>
      </c>
      <c r="C17" s="1">
        <v>1016</v>
      </c>
      <c r="D17" s="1" t="s">
        <v>160</v>
      </c>
      <c r="E17" s="1" t="s">
        <v>161</v>
      </c>
      <c r="F17" s="1">
        <v>6</v>
      </c>
      <c r="G17" s="1">
        <v>350</v>
      </c>
      <c r="H17" s="1">
        <v>2100</v>
      </c>
    </row>
    <row r="18" spans="1:8" x14ac:dyDescent="0.3">
      <c r="A18" s="3">
        <v>46039</v>
      </c>
      <c r="B18" s="1" t="s">
        <v>55</v>
      </c>
      <c r="C18" s="1">
        <v>1017</v>
      </c>
      <c r="D18" s="1" t="s">
        <v>162</v>
      </c>
      <c r="E18" s="1" t="s">
        <v>163</v>
      </c>
      <c r="F18" s="1">
        <v>7</v>
      </c>
      <c r="G18" s="1">
        <v>400</v>
      </c>
      <c r="H18" s="1">
        <v>2800</v>
      </c>
    </row>
    <row r="19" spans="1:8" x14ac:dyDescent="0.3">
      <c r="A19" s="3">
        <v>46040</v>
      </c>
      <c r="B19" s="1" t="s">
        <v>55</v>
      </c>
      <c r="C19" s="1">
        <v>1018</v>
      </c>
      <c r="D19" s="1" t="s">
        <v>164</v>
      </c>
      <c r="E19" s="1" t="s">
        <v>76</v>
      </c>
      <c r="F19" s="1">
        <v>8</v>
      </c>
      <c r="G19" s="1">
        <v>450</v>
      </c>
      <c r="H19" s="1">
        <v>3600</v>
      </c>
    </row>
    <row r="20" spans="1:8" x14ac:dyDescent="0.3">
      <c r="A20" s="3">
        <v>46041</v>
      </c>
      <c r="B20" s="1" t="s">
        <v>55</v>
      </c>
      <c r="C20" s="1">
        <v>1019</v>
      </c>
      <c r="D20" s="1" t="s">
        <v>165</v>
      </c>
      <c r="E20" s="1" t="s">
        <v>166</v>
      </c>
      <c r="F20" s="1">
        <v>9</v>
      </c>
      <c r="G20" s="1">
        <v>500</v>
      </c>
      <c r="H20" s="1">
        <v>4500</v>
      </c>
    </row>
    <row r="21" spans="1:8" x14ac:dyDescent="0.3">
      <c r="A21" s="3">
        <v>46042</v>
      </c>
      <c r="B21" s="1" t="s">
        <v>55</v>
      </c>
      <c r="C21" s="1">
        <v>1020</v>
      </c>
      <c r="D21" s="1" t="s">
        <v>167</v>
      </c>
      <c r="E21" s="1" t="s">
        <v>77</v>
      </c>
      <c r="F21" s="1">
        <v>10</v>
      </c>
      <c r="G21" s="1">
        <v>550</v>
      </c>
      <c r="H21" s="1">
        <v>5500</v>
      </c>
    </row>
    <row r="22" spans="1:8" x14ac:dyDescent="0.3">
      <c r="A22" s="3">
        <v>46043</v>
      </c>
      <c r="B22" s="1" t="s">
        <v>55</v>
      </c>
      <c r="C22" s="1">
        <v>1021</v>
      </c>
      <c r="D22" s="1" t="s">
        <v>160</v>
      </c>
      <c r="E22" s="1" t="s">
        <v>161</v>
      </c>
      <c r="F22" s="1">
        <v>1</v>
      </c>
      <c r="G22" s="1">
        <v>100</v>
      </c>
      <c r="H22" s="1">
        <v>100</v>
      </c>
    </row>
    <row r="23" spans="1:8" x14ac:dyDescent="0.3">
      <c r="A23" s="3">
        <v>46044</v>
      </c>
      <c r="B23" s="1" t="s">
        <v>55</v>
      </c>
      <c r="C23" s="1">
        <v>1022</v>
      </c>
      <c r="D23" s="1" t="s">
        <v>162</v>
      </c>
      <c r="E23" s="1" t="s">
        <v>163</v>
      </c>
      <c r="F23" s="1">
        <v>2</v>
      </c>
      <c r="G23" s="1">
        <v>150</v>
      </c>
      <c r="H23" s="1">
        <v>300</v>
      </c>
    </row>
    <row r="24" spans="1:8" x14ac:dyDescent="0.3">
      <c r="A24" s="3">
        <v>46045</v>
      </c>
      <c r="B24" s="1" t="s">
        <v>55</v>
      </c>
      <c r="C24" s="1">
        <v>1023</v>
      </c>
      <c r="D24" s="1" t="s">
        <v>164</v>
      </c>
      <c r="E24" s="1" t="s">
        <v>76</v>
      </c>
      <c r="F24" s="1">
        <v>3</v>
      </c>
      <c r="G24" s="1">
        <v>200</v>
      </c>
      <c r="H24" s="1">
        <v>600</v>
      </c>
    </row>
    <row r="25" spans="1:8" x14ac:dyDescent="0.3">
      <c r="A25" s="3">
        <v>46046</v>
      </c>
      <c r="B25" s="1" t="s">
        <v>55</v>
      </c>
      <c r="C25" s="1">
        <v>1024</v>
      </c>
      <c r="D25" s="1" t="s">
        <v>165</v>
      </c>
      <c r="E25" s="1" t="s">
        <v>166</v>
      </c>
      <c r="F25" s="1">
        <v>4</v>
      </c>
      <c r="G25" s="1">
        <v>250</v>
      </c>
      <c r="H25" s="1">
        <v>1000</v>
      </c>
    </row>
    <row r="26" spans="1:8" x14ac:dyDescent="0.3">
      <c r="A26" s="3">
        <v>46047</v>
      </c>
      <c r="B26" s="1" t="s">
        <v>55</v>
      </c>
      <c r="C26" s="1">
        <v>1025</v>
      </c>
      <c r="D26" s="1" t="s">
        <v>167</v>
      </c>
      <c r="E26" s="1" t="s">
        <v>77</v>
      </c>
      <c r="F26" s="1">
        <v>5</v>
      </c>
      <c r="G26" s="1">
        <v>300</v>
      </c>
      <c r="H26" s="1">
        <v>1500</v>
      </c>
    </row>
    <row r="27" spans="1:8" x14ac:dyDescent="0.3">
      <c r="A27" s="3">
        <v>46048</v>
      </c>
      <c r="B27" s="1" t="s">
        <v>55</v>
      </c>
      <c r="C27" s="1">
        <v>1026</v>
      </c>
      <c r="D27" s="1" t="s">
        <v>160</v>
      </c>
      <c r="E27" s="1" t="s">
        <v>161</v>
      </c>
      <c r="F27" s="1">
        <v>6</v>
      </c>
      <c r="G27" s="1">
        <v>350</v>
      </c>
      <c r="H27" s="1">
        <v>2100</v>
      </c>
    </row>
    <row r="28" spans="1:8" x14ac:dyDescent="0.3">
      <c r="A28" s="3">
        <v>46049</v>
      </c>
      <c r="B28" s="1" t="s">
        <v>55</v>
      </c>
      <c r="C28" s="1">
        <v>1027</v>
      </c>
      <c r="D28" s="1" t="s">
        <v>162</v>
      </c>
      <c r="E28" s="1" t="s">
        <v>163</v>
      </c>
      <c r="F28" s="1">
        <v>7</v>
      </c>
      <c r="G28" s="1">
        <v>400</v>
      </c>
      <c r="H28" s="1">
        <v>2800</v>
      </c>
    </row>
    <row r="29" spans="1:8" x14ac:dyDescent="0.3">
      <c r="A29" s="3">
        <v>46050</v>
      </c>
      <c r="B29" s="1" t="s">
        <v>55</v>
      </c>
      <c r="C29" s="1">
        <v>1028</v>
      </c>
      <c r="D29" s="1" t="s">
        <v>164</v>
      </c>
      <c r="E29" s="1" t="s">
        <v>76</v>
      </c>
      <c r="F29" s="1">
        <v>8</v>
      </c>
      <c r="G29" s="1">
        <v>450</v>
      </c>
      <c r="H29" s="1">
        <v>3600</v>
      </c>
    </row>
    <row r="30" spans="1:8" x14ac:dyDescent="0.3">
      <c r="A30" s="3">
        <v>46051</v>
      </c>
      <c r="B30" s="1" t="s">
        <v>55</v>
      </c>
      <c r="C30" s="1">
        <v>1029</v>
      </c>
      <c r="D30" s="1" t="s">
        <v>165</v>
      </c>
      <c r="E30" s="1" t="s">
        <v>166</v>
      </c>
      <c r="F30" s="1">
        <v>9</v>
      </c>
      <c r="G30" s="1">
        <v>500</v>
      </c>
      <c r="H30" s="1">
        <v>4500</v>
      </c>
    </row>
    <row r="31" spans="1:8" x14ac:dyDescent="0.3">
      <c r="A31" s="3">
        <v>46052</v>
      </c>
      <c r="B31" s="1" t="s">
        <v>55</v>
      </c>
      <c r="C31" s="1">
        <v>1030</v>
      </c>
      <c r="D31" s="1" t="s">
        <v>167</v>
      </c>
      <c r="E31" s="1" t="s">
        <v>77</v>
      </c>
      <c r="F31" s="1">
        <v>10</v>
      </c>
      <c r="G31" s="1">
        <v>550</v>
      </c>
      <c r="H31" s="1">
        <v>5500</v>
      </c>
    </row>
    <row r="32" spans="1:8" x14ac:dyDescent="0.3">
      <c r="A32" s="3">
        <v>46053</v>
      </c>
      <c r="B32" s="1" t="s">
        <v>55</v>
      </c>
      <c r="C32" s="1">
        <v>1031</v>
      </c>
      <c r="D32" s="1" t="s">
        <v>160</v>
      </c>
      <c r="E32" s="1" t="s">
        <v>161</v>
      </c>
      <c r="F32" s="1">
        <v>1</v>
      </c>
      <c r="G32" s="1">
        <v>100</v>
      </c>
      <c r="H32" s="1">
        <v>100</v>
      </c>
    </row>
    <row r="33" spans="1:8" x14ac:dyDescent="0.3">
      <c r="A33" s="3">
        <v>46054</v>
      </c>
      <c r="B33" s="1" t="s">
        <v>55</v>
      </c>
      <c r="C33" s="1">
        <v>1032</v>
      </c>
      <c r="D33" s="1" t="s">
        <v>162</v>
      </c>
      <c r="E33" s="1" t="s">
        <v>163</v>
      </c>
      <c r="F33" s="1">
        <v>2</v>
      </c>
      <c r="G33" s="1">
        <v>150</v>
      </c>
      <c r="H33" s="1">
        <v>300</v>
      </c>
    </row>
    <row r="34" spans="1:8" x14ac:dyDescent="0.3">
      <c r="A34" s="3">
        <v>46055</v>
      </c>
      <c r="B34" s="1" t="s">
        <v>55</v>
      </c>
      <c r="C34" s="1">
        <v>1033</v>
      </c>
      <c r="D34" s="1" t="s">
        <v>164</v>
      </c>
      <c r="E34" s="1" t="s">
        <v>76</v>
      </c>
      <c r="F34" s="1">
        <v>3</v>
      </c>
      <c r="G34" s="1">
        <v>200</v>
      </c>
      <c r="H34" s="1">
        <v>600</v>
      </c>
    </row>
    <row r="35" spans="1:8" x14ac:dyDescent="0.3">
      <c r="A35" s="3">
        <v>46056</v>
      </c>
      <c r="B35" s="1" t="s">
        <v>55</v>
      </c>
      <c r="C35" s="1">
        <v>1034</v>
      </c>
      <c r="D35" s="1" t="s">
        <v>165</v>
      </c>
      <c r="E35" s="1" t="s">
        <v>166</v>
      </c>
      <c r="F35" s="1">
        <v>4</v>
      </c>
      <c r="G35" s="1">
        <v>250</v>
      </c>
      <c r="H35" s="1">
        <v>1000</v>
      </c>
    </row>
    <row r="36" spans="1:8" x14ac:dyDescent="0.3">
      <c r="A36" s="3">
        <v>46057</v>
      </c>
      <c r="B36" s="1" t="s">
        <v>55</v>
      </c>
      <c r="C36" s="1">
        <v>1035</v>
      </c>
      <c r="D36" s="1" t="s">
        <v>167</v>
      </c>
      <c r="E36" s="1" t="s">
        <v>77</v>
      </c>
      <c r="F36" s="1">
        <v>5</v>
      </c>
      <c r="G36" s="1">
        <v>300</v>
      </c>
      <c r="H36" s="1">
        <v>1500</v>
      </c>
    </row>
    <row r="37" spans="1:8" x14ac:dyDescent="0.3">
      <c r="A37" s="3">
        <v>46058</v>
      </c>
      <c r="B37" s="1" t="s">
        <v>55</v>
      </c>
      <c r="C37" s="1">
        <v>1036</v>
      </c>
      <c r="D37" s="1" t="s">
        <v>160</v>
      </c>
      <c r="E37" s="1" t="s">
        <v>161</v>
      </c>
      <c r="F37" s="1">
        <v>6</v>
      </c>
      <c r="G37" s="1">
        <v>350</v>
      </c>
      <c r="H37" s="1">
        <v>2100</v>
      </c>
    </row>
    <row r="38" spans="1:8" x14ac:dyDescent="0.3">
      <c r="A38" s="3">
        <v>46059</v>
      </c>
      <c r="B38" s="1" t="s">
        <v>55</v>
      </c>
      <c r="C38" s="1">
        <v>1037</v>
      </c>
      <c r="D38" s="1" t="s">
        <v>162</v>
      </c>
      <c r="E38" s="1" t="s">
        <v>163</v>
      </c>
      <c r="F38" s="1">
        <v>7</v>
      </c>
      <c r="G38" s="1">
        <v>400</v>
      </c>
      <c r="H38" s="1">
        <v>2800</v>
      </c>
    </row>
    <row r="39" spans="1:8" x14ac:dyDescent="0.3">
      <c r="A39" s="3">
        <v>46060</v>
      </c>
      <c r="B39" s="1" t="s">
        <v>55</v>
      </c>
      <c r="C39" s="1">
        <v>1038</v>
      </c>
      <c r="D39" s="1" t="s">
        <v>164</v>
      </c>
      <c r="E39" s="1" t="s">
        <v>76</v>
      </c>
      <c r="F39" s="1">
        <v>8</v>
      </c>
      <c r="G39" s="1">
        <v>450</v>
      </c>
      <c r="H39" s="1">
        <v>3600</v>
      </c>
    </row>
    <row r="40" spans="1:8" x14ac:dyDescent="0.3">
      <c r="A40" s="3">
        <v>46061</v>
      </c>
      <c r="B40" s="1" t="s">
        <v>55</v>
      </c>
      <c r="C40" s="1">
        <v>1039</v>
      </c>
      <c r="D40" s="1" t="s">
        <v>165</v>
      </c>
      <c r="E40" s="1" t="s">
        <v>166</v>
      </c>
      <c r="F40" s="1">
        <v>9</v>
      </c>
      <c r="G40" s="1">
        <v>500</v>
      </c>
      <c r="H40" s="1">
        <v>4500</v>
      </c>
    </row>
    <row r="41" spans="1:8" x14ac:dyDescent="0.3">
      <c r="A41" s="3">
        <v>46062</v>
      </c>
      <c r="B41" s="1" t="s">
        <v>55</v>
      </c>
      <c r="C41" s="1">
        <v>1040</v>
      </c>
      <c r="D41" s="1" t="s">
        <v>167</v>
      </c>
      <c r="E41" s="1" t="s">
        <v>77</v>
      </c>
      <c r="F41" s="1">
        <v>10</v>
      </c>
      <c r="G41" s="1">
        <v>550</v>
      </c>
      <c r="H41" s="1">
        <v>5500</v>
      </c>
    </row>
    <row r="42" spans="1:8" x14ac:dyDescent="0.3">
      <c r="A42" s="3">
        <v>46063</v>
      </c>
      <c r="B42" s="1" t="s">
        <v>55</v>
      </c>
      <c r="C42" s="1">
        <v>1041</v>
      </c>
      <c r="D42" s="1" t="s">
        <v>160</v>
      </c>
      <c r="E42" s="1" t="s">
        <v>161</v>
      </c>
      <c r="F42" s="1">
        <v>1</v>
      </c>
      <c r="G42" s="1">
        <v>100</v>
      </c>
      <c r="H42" s="1">
        <v>100</v>
      </c>
    </row>
    <row r="43" spans="1:8" x14ac:dyDescent="0.3">
      <c r="A43" s="3">
        <v>46064</v>
      </c>
      <c r="B43" s="1" t="s">
        <v>55</v>
      </c>
      <c r="C43" s="1">
        <v>1042</v>
      </c>
      <c r="D43" s="1" t="s">
        <v>162</v>
      </c>
      <c r="E43" s="1" t="s">
        <v>163</v>
      </c>
      <c r="F43" s="1">
        <v>2</v>
      </c>
      <c r="G43" s="1">
        <v>150</v>
      </c>
      <c r="H43" s="1">
        <v>300</v>
      </c>
    </row>
    <row r="44" spans="1:8" x14ac:dyDescent="0.3">
      <c r="A44" s="3">
        <v>46065</v>
      </c>
      <c r="B44" s="1" t="s">
        <v>55</v>
      </c>
      <c r="C44" s="1">
        <v>1043</v>
      </c>
      <c r="D44" s="1" t="s">
        <v>164</v>
      </c>
      <c r="E44" s="1" t="s">
        <v>76</v>
      </c>
      <c r="F44" s="1">
        <v>3</v>
      </c>
      <c r="G44" s="1">
        <v>200</v>
      </c>
      <c r="H44" s="1">
        <v>600</v>
      </c>
    </row>
    <row r="45" spans="1:8" x14ac:dyDescent="0.3">
      <c r="A45" s="3">
        <v>46066</v>
      </c>
      <c r="B45" s="1" t="s">
        <v>55</v>
      </c>
      <c r="C45" s="1">
        <v>1044</v>
      </c>
      <c r="D45" s="1" t="s">
        <v>165</v>
      </c>
      <c r="E45" s="1" t="s">
        <v>166</v>
      </c>
      <c r="F45" s="1">
        <v>4</v>
      </c>
      <c r="G45" s="1">
        <v>250</v>
      </c>
      <c r="H45" s="1">
        <v>1000</v>
      </c>
    </row>
    <row r="46" spans="1:8" x14ac:dyDescent="0.3">
      <c r="A46" s="3">
        <v>46067</v>
      </c>
      <c r="B46" s="1" t="s">
        <v>55</v>
      </c>
      <c r="C46" s="1">
        <v>1045</v>
      </c>
      <c r="D46" s="1" t="s">
        <v>167</v>
      </c>
      <c r="E46" s="1" t="s">
        <v>77</v>
      </c>
      <c r="F46" s="1">
        <v>5</v>
      </c>
      <c r="G46" s="1">
        <v>300</v>
      </c>
      <c r="H46" s="1">
        <v>1500</v>
      </c>
    </row>
    <row r="47" spans="1:8" x14ac:dyDescent="0.3">
      <c r="A47" s="3">
        <v>46068</v>
      </c>
      <c r="B47" s="1" t="s">
        <v>55</v>
      </c>
      <c r="C47" s="1">
        <v>1046</v>
      </c>
      <c r="D47" s="1" t="s">
        <v>160</v>
      </c>
      <c r="E47" s="1" t="s">
        <v>161</v>
      </c>
      <c r="F47" s="1">
        <v>6</v>
      </c>
      <c r="G47" s="1">
        <v>350</v>
      </c>
      <c r="H47" s="1">
        <v>2100</v>
      </c>
    </row>
    <row r="48" spans="1:8" x14ac:dyDescent="0.3">
      <c r="A48" s="3">
        <v>46069</v>
      </c>
      <c r="B48" s="1" t="s">
        <v>55</v>
      </c>
      <c r="C48" s="1">
        <v>1047</v>
      </c>
      <c r="D48" s="1" t="s">
        <v>162</v>
      </c>
      <c r="E48" s="1" t="s">
        <v>163</v>
      </c>
      <c r="F48" s="1">
        <v>7</v>
      </c>
      <c r="G48" s="1">
        <v>400</v>
      </c>
      <c r="H48" s="1">
        <v>2800</v>
      </c>
    </row>
    <row r="49" spans="1:8" x14ac:dyDescent="0.3">
      <c r="A49" s="3">
        <v>46070</v>
      </c>
      <c r="B49" s="1" t="s">
        <v>55</v>
      </c>
      <c r="C49" s="1">
        <v>1048</v>
      </c>
      <c r="D49" s="1" t="s">
        <v>164</v>
      </c>
      <c r="E49" s="1" t="s">
        <v>76</v>
      </c>
      <c r="F49" s="1">
        <v>8</v>
      </c>
      <c r="G49" s="1">
        <v>450</v>
      </c>
      <c r="H49" s="1">
        <v>3600</v>
      </c>
    </row>
    <row r="50" spans="1:8" x14ac:dyDescent="0.3">
      <c r="A50" s="3">
        <v>46071</v>
      </c>
      <c r="B50" s="1" t="s">
        <v>55</v>
      </c>
      <c r="C50" s="1">
        <v>1049</v>
      </c>
      <c r="D50" s="1" t="s">
        <v>165</v>
      </c>
      <c r="E50" s="1" t="s">
        <v>166</v>
      </c>
      <c r="F50" s="1">
        <v>9</v>
      </c>
      <c r="G50" s="1">
        <v>500</v>
      </c>
      <c r="H50" s="1">
        <v>4500</v>
      </c>
    </row>
    <row r="51" spans="1:8" x14ac:dyDescent="0.3">
      <c r="A51" s="3">
        <v>46072</v>
      </c>
      <c r="B51" s="1" t="s">
        <v>55</v>
      </c>
      <c r="C51" s="1">
        <v>1050</v>
      </c>
      <c r="D51" s="1" t="s">
        <v>167</v>
      </c>
      <c r="E51" s="1" t="s">
        <v>77</v>
      </c>
      <c r="F51" s="1">
        <v>10</v>
      </c>
      <c r="G51" s="1">
        <v>550</v>
      </c>
      <c r="H51" s="1">
        <v>5500</v>
      </c>
    </row>
    <row r="52" spans="1:8" x14ac:dyDescent="0.3">
      <c r="A52" s="3">
        <v>46073</v>
      </c>
      <c r="B52" s="1" t="s">
        <v>55</v>
      </c>
      <c r="C52" s="1">
        <v>1051</v>
      </c>
      <c r="D52" s="1" t="s">
        <v>160</v>
      </c>
      <c r="E52" s="1" t="s">
        <v>161</v>
      </c>
      <c r="F52" s="1">
        <v>1</v>
      </c>
      <c r="G52" s="1">
        <v>100</v>
      </c>
      <c r="H52" s="1">
        <v>100</v>
      </c>
    </row>
    <row r="53" spans="1:8" x14ac:dyDescent="0.3">
      <c r="A53" s="3">
        <v>46074</v>
      </c>
      <c r="B53" s="1" t="s">
        <v>55</v>
      </c>
      <c r="C53" s="1">
        <v>1052</v>
      </c>
      <c r="D53" s="1" t="s">
        <v>162</v>
      </c>
      <c r="E53" s="1" t="s">
        <v>163</v>
      </c>
      <c r="F53" s="1">
        <v>2</v>
      </c>
      <c r="G53" s="1">
        <v>150</v>
      </c>
      <c r="H53" s="1">
        <v>300</v>
      </c>
    </row>
    <row r="54" spans="1:8" x14ac:dyDescent="0.3">
      <c r="A54" s="3">
        <v>46075</v>
      </c>
      <c r="B54" s="1" t="s">
        <v>55</v>
      </c>
      <c r="C54" s="1">
        <v>1053</v>
      </c>
      <c r="D54" s="1" t="s">
        <v>164</v>
      </c>
      <c r="E54" s="1" t="s">
        <v>76</v>
      </c>
      <c r="F54" s="1">
        <v>3</v>
      </c>
      <c r="G54" s="1">
        <v>200</v>
      </c>
      <c r="H54" s="1">
        <v>600</v>
      </c>
    </row>
    <row r="55" spans="1:8" x14ac:dyDescent="0.3">
      <c r="A55" s="3">
        <v>46076</v>
      </c>
      <c r="B55" s="1" t="s">
        <v>55</v>
      </c>
      <c r="C55" s="1">
        <v>1054</v>
      </c>
      <c r="D55" s="1" t="s">
        <v>165</v>
      </c>
      <c r="E55" s="1" t="s">
        <v>166</v>
      </c>
      <c r="F55" s="1">
        <v>4</v>
      </c>
      <c r="G55" s="1">
        <v>250</v>
      </c>
      <c r="H55" s="1">
        <v>1000</v>
      </c>
    </row>
    <row r="56" spans="1:8" x14ac:dyDescent="0.3">
      <c r="A56" s="3">
        <v>46077</v>
      </c>
      <c r="B56" s="1" t="s">
        <v>55</v>
      </c>
      <c r="C56" s="1">
        <v>1055</v>
      </c>
      <c r="D56" s="1" t="s">
        <v>167</v>
      </c>
      <c r="E56" s="1" t="s">
        <v>77</v>
      </c>
      <c r="F56" s="1">
        <v>5</v>
      </c>
      <c r="G56" s="1">
        <v>300</v>
      </c>
      <c r="H56" s="1">
        <v>1500</v>
      </c>
    </row>
    <row r="57" spans="1:8" x14ac:dyDescent="0.3">
      <c r="A57" s="3">
        <v>46078</v>
      </c>
      <c r="B57" s="1" t="s">
        <v>55</v>
      </c>
      <c r="C57" s="1">
        <v>1056</v>
      </c>
      <c r="D57" s="1" t="s">
        <v>160</v>
      </c>
      <c r="E57" s="1" t="s">
        <v>161</v>
      </c>
      <c r="F57" s="1">
        <v>6</v>
      </c>
      <c r="G57" s="1">
        <v>350</v>
      </c>
      <c r="H57" s="1">
        <v>2100</v>
      </c>
    </row>
    <row r="58" spans="1:8" x14ac:dyDescent="0.3">
      <c r="A58" s="3">
        <v>46079</v>
      </c>
      <c r="B58" s="1" t="s">
        <v>55</v>
      </c>
      <c r="C58" s="1">
        <v>1057</v>
      </c>
      <c r="D58" s="1" t="s">
        <v>162</v>
      </c>
      <c r="E58" s="1" t="s">
        <v>163</v>
      </c>
      <c r="F58" s="1">
        <v>7</v>
      </c>
      <c r="G58" s="1">
        <v>400</v>
      </c>
      <c r="H58" s="1">
        <v>2800</v>
      </c>
    </row>
    <row r="59" spans="1:8" x14ac:dyDescent="0.3">
      <c r="A59" s="3">
        <v>46080</v>
      </c>
      <c r="B59" s="1" t="s">
        <v>55</v>
      </c>
      <c r="C59" s="1">
        <v>1058</v>
      </c>
      <c r="D59" s="1" t="s">
        <v>164</v>
      </c>
      <c r="E59" s="1" t="s">
        <v>76</v>
      </c>
      <c r="F59" s="1">
        <v>8</v>
      </c>
      <c r="G59" s="1">
        <v>450</v>
      </c>
      <c r="H59" s="1">
        <v>3600</v>
      </c>
    </row>
    <row r="60" spans="1:8" x14ac:dyDescent="0.3">
      <c r="A60" s="3">
        <v>46081</v>
      </c>
      <c r="B60" s="1" t="s">
        <v>55</v>
      </c>
      <c r="C60" s="1">
        <v>1059</v>
      </c>
      <c r="D60" s="1" t="s">
        <v>165</v>
      </c>
      <c r="E60" s="1" t="s">
        <v>166</v>
      </c>
      <c r="F60" s="1">
        <v>9</v>
      </c>
      <c r="G60" s="1">
        <v>500</v>
      </c>
      <c r="H60" s="1">
        <v>4500</v>
      </c>
    </row>
    <row r="61" spans="1:8" x14ac:dyDescent="0.3">
      <c r="A61" s="3">
        <v>46082</v>
      </c>
      <c r="B61" s="1" t="s">
        <v>55</v>
      </c>
      <c r="C61" s="1">
        <v>1060</v>
      </c>
      <c r="D61" s="1" t="s">
        <v>167</v>
      </c>
      <c r="E61" s="1" t="s">
        <v>77</v>
      </c>
      <c r="F61" s="1">
        <v>10</v>
      </c>
      <c r="G61" s="1">
        <v>550</v>
      </c>
      <c r="H61" s="1">
        <v>5500</v>
      </c>
    </row>
    <row r="62" spans="1:8" x14ac:dyDescent="0.3">
      <c r="A62" s="3">
        <v>46083</v>
      </c>
      <c r="B62" s="1" t="s">
        <v>55</v>
      </c>
      <c r="C62" s="1">
        <v>1061</v>
      </c>
      <c r="D62" s="1" t="s">
        <v>160</v>
      </c>
      <c r="E62" s="1" t="s">
        <v>161</v>
      </c>
      <c r="F62" s="1">
        <v>1</v>
      </c>
      <c r="G62" s="1">
        <v>100</v>
      </c>
      <c r="H62" s="1">
        <v>100</v>
      </c>
    </row>
    <row r="63" spans="1:8" x14ac:dyDescent="0.3">
      <c r="A63" s="3">
        <v>46084</v>
      </c>
      <c r="B63" s="1" t="s">
        <v>55</v>
      </c>
      <c r="C63" s="1">
        <v>1062</v>
      </c>
      <c r="D63" s="1" t="s">
        <v>162</v>
      </c>
      <c r="E63" s="1" t="s">
        <v>163</v>
      </c>
      <c r="F63" s="1">
        <v>2</v>
      </c>
      <c r="G63" s="1">
        <v>150</v>
      </c>
      <c r="H63" s="1">
        <v>300</v>
      </c>
    </row>
    <row r="64" spans="1:8" x14ac:dyDescent="0.3">
      <c r="A64" s="3">
        <v>46085</v>
      </c>
      <c r="B64" s="1" t="s">
        <v>55</v>
      </c>
      <c r="C64" s="1">
        <v>1063</v>
      </c>
      <c r="D64" s="1" t="s">
        <v>164</v>
      </c>
      <c r="E64" s="1" t="s">
        <v>76</v>
      </c>
      <c r="F64" s="1">
        <v>3</v>
      </c>
      <c r="G64" s="1">
        <v>200</v>
      </c>
      <c r="H64" s="1">
        <v>600</v>
      </c>
    </row>
    <row r="65" spans="1:8" x14ac:dyDescent="0.3">
      <c r="A65" s="3">
        <v>46086</v>
      </c>
      <c r="B65" s="1" t="s">
        <v>55</v>
      </c>
      <c r="C65" s="1">
        <v>1064</v>
      </c>
      <c r="D65" s="1" t="s">
        <v>165</v>
      </c>
      <c r="E65" s="1" t="s">
        <v>166</v>
      </c>
      <c r="F65" s="1">
        <v>4</v>
      </c>
      <c r="G65" s="1">
        <v>250</v>
      </c>
      <c r="H65" s="1">
        <v>1000</v>
      </c>
    </row>
    <row r="66" spans="1:8" x14ac:dyDescent="0.3">
      <c r="A66" s="3">
        <v>46087</v>
      </c>
      <c r="B66" s="1" t="s">
        <v>55</v>
      </c>
      <c r="C66" s="1">
        <v>1065</v>
      </c>
      <c r="D66" s="1" t="s">
        <v>167</v>
      </c>
      <c r="E66" s="1" t="s">
        <v>77</v>
      </c>
      <c r="F66" s="1">
        <v>5</v>
      </c>
      <c r="G66" s="1">
        <v>300</v>
      </c>
      <c r="H66" s="1">
        <v>1500</v>
      </c>
    </row>
    <row r="67" spans="1:8" x14ac:dyDescent="0.3">
      <c r="A67" s="3">
        <v>46088</v>
      </c>
      <c r="B67" s="1" t="s">
        <v>55</v>
      </c>
      <c r="C67" s="1">
        <v>1066</v>
      </c>
      <c r="D67" s="1" t="s">
        <v>160</v>
      </c>
      <c r="E67" s="1" t="s">
        <v>161</v>
      </c>
      <c r="F67" s="1">
        <v>6</v>
      </c>
      <c r="G67" s="1">
        <v>350</v>
      </c>
      <c r="H67" s="1">
        <v>2100</v>
      </c>
    </row>
    <row r="68" spans="1:8" x14ac:dyDescent="0.3">
      <c r="A68" s="3">
        <v>46089</v>
      </c>
      <c r="B68" s="1" t="s">
        <v>55</v>
      </c>
      <c r="C68" s="1">
        <v>1067</v>
      </c>
      <c r="D68" s="1" t="s">
        <v>162</v>
      </c>
      <c r="E68" s="1" t="s">
        <v>163</v>
      </c>
      <c r="F68" s="1">
        <v>7</v>
      </c>
      <c r="G68" s="1">
        <v>400</v>
      </c>
      <c r="H68" s="1">
        <v>2800</v>
      </c>
    </row>
    <row r="69" spans="1:8" x14ac:dyDescent="0.3">
      <c r="A69" s="3">
        <v>46090</v>
      </c>
      <c r="B69" s="1" t="s">
        <v>55</v>
      </c>
      <c r="C69" s="1">
        <v>1068</v>
      </c>
      <c r="D69" s="1" t="s">
        <v>164</v>
      </c>
      <c r="E69" s="1" t="s">
        <v>76</v>
      </c>
      <c r="F69" s="1">
        <v>8</v>
      </c>
      <c r="G69" s="1">
        <v>450</v>
      </c>
      <c r="H69" s="1">
        <v>3600</v>
      </c>
    </row>
    <row r="70" spans="1:8" x14ac:dyDescent="0.3">
      <c r="A70" s="3">
        <v>46091</v>
      </c>
      <c r="B70" s="1" t="s">
        <v>55</v>
      </c>
      <c r="C70" s="1">
        <v>1069</v>
      </c>
      <c r="D70" s="1" t="s">
        <v>165</v>
      </c>
      <c r="E70" s="1" t="s">
        <v>166</v>
      </c>
      <c r="F70" s="1">
        <v>9</v>
      </c>
      <c r="G70" s="1">
        <v>500</v>
      </c>
      <c r="H70" s="1">
        <v>4500</v>
      </c>
    </row>
    <row r="71" spans="1:8" x14ac:dyDescent="0.3">
      <c r="A71" s="3">
        <v>46092</v>
      </c>
      <c r="B71" s="1" t="s">
        <v>55</v>
      </c>
      <c r="C71" s="1">
        <v>1070</v>
      </c>
      <c r="D71" s="1" t="s">
        <v>167</v>
      </c>
      <c r="E71" s="1" t="s">
        <v>77</v>
      </c>
      <c r="F71" s="1">
        <v>10</v>
      </c>
      <c r="G71" s="1">
        <v>550</v>
      </c>
      <c r="H71" s="1">
        <v>5500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MACRO</vt:lpstr>
      <vt:lpstr>V_data</vt:lpstr>
      <vt:lpstr>V_data_2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aayush pateriya</dc:creator>
  <cp:lastModifiedBy>aayush pateriya</cp:lastModifiedBy>
  <dcterms:created xsi:type="dcterms:W3CDTF">2026-03-04T09:10:26Z</dcterms:created>
  <dcterms:modified xsi:type="dcterms:W3CDTF">2026-03-04T17:58:43Z</dcterms:modified>
</cp:coreProperties>
</file>